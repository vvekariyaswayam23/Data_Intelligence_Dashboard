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NW-Work\Excel\3. Data_Intelligence_Dashboard\"/>
    </mc:Choice>
  </mc:AlternateContent>
  <xr:revisionPtr revIDLastSave="0" documentId="13_ncr:1_{FADB7E17-1440-410F-B5DB-939939A810E6}" xr6:coauthVersionLast="47" xr6:coauthVersionMax="47" xr10:uidLastSave="{00000000-0000-0000-0000-000000000000}"/>
  <bookViews>
    <workbookView xWindow="-110" yWindow="-110" windowWidth="21820" windowHeight="14620" tabRatio="500" activeTab="5" xr2:uid="{00000000-000D-0000-FFFF-FFFF00000000}"/>
  </bookViews>
  <sheets>
    <sheet name="Raw Data" sheetId="2" r:id="rId1"/>
    <sheet name="Analysis" sheetId="3" r:id="rId2"/>
    <sheet name="What-If &amp; Regression" sheetId="4" r:id="rId3"/>
    <sheet name="Visualizations" sheetId="5" r:id="rId4"/>
    <sheet name="Dashboard" sheetId="6" r:id="rId5"/>
    <sheet name="Report" sheetId="7" r:id="rId6"/>
  </sheets>
  <definedNames>
    <definedName name="_xlnm._FilterDatabase" localSheetId="0" hidden="1">'Raw Data'!$A$1:$N$251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9" i="6" l="1"/>
  <c r="A59" i="6"/>
  <c r="D59" i="6" s="1"/>
  <c r="A58" i="6"/>
  <c r="A57" i="6"/>
  <c r="D57" i="6" s="1"/>
  <c r="A56" i="6"/>
  <c r="A55" i="6"/>
  <c r="D55" i="6" s="1"/>
  <c r="Q10" i="6"/>
  <c r="G4" i="6"/>
  <c r="D4" i="6"/>
  <c r="E11" i="4"/>
  <c r="E16" i="4" s="1"/>
  <c r="E10" i="4"/>
  <c r="E9" i="4"/>
  <c r="E8" i="4"/>
  <c r="M140" i="3"/>
  <c r="L140" i="3"/>
  <c r="K140" i="3"/>
  <c r="I140" i="3"/>
  <c r="E140" i="3"/>
  <c r="D140" i="3"/>
  <c r="H140" i="3" s="1"/>
  <c r="C140" i="3"/>
  <c r="N140" i="3" s="1"/>
  <c r="B140" i="3"/>
  <c r="J140" i="3" s="1"/>
  <c r="N139" i="3"/>
  <c r="L139" i="3"/>
  <c r="J139" i="3"/>
  <c r="I139" i="3"/>
  <c r="E139" i="3"/>
  <c r="D139" i="3"/>
  <c r="H139" i="3" s="1"/>
  <c r="C139" i="3"/>
  <c r="B139" i="3"/>
  <c r="K139" i="3" s="1"/>
  <c r="I138" i="3"/>
  <c r="D138" i="3"/>
  <c r="H138" i="3" s="1"/>
  <c r="C138" i="3"/>
  <c r="E138" i="3" s="1"/>
  <c r="B138" i="3"/>
  <c r="L138" i="3" s="1"/>
  <c r="L137" i="3"/>
  <c r="K137" i="3"/>
  <c r="D137" i="3"/>
  <c r="H137" i="3" s="1"/>
  <c r="C137" i="3"/>
  <c r="B137" i="3"/>
  <c r="L136" i="3"/>
  <c r="K136" i="3"/>
  <c r="D136" i="3"/>
  <c r="H136" i="3" s="1"/>
  <c r="C136" i="3"/>
  <c r="B136" i="3"/>
  <c r="J136" i="3" s="1"/>
  <c r="L135" i="3"/>
  <c r="K135" i="3"/>
  <c r="I135" i="3"/>
  <c r="D135" i="3"/>
  <c r="H135" i="3" s="1"/>
  <c r="C135" i="3"/>
  <c r="N135" i="3" s="1"/>
  <c r="B135" i="3"/>
  <c r="J135" i="3" s="1"/>
  <c r="N134" i="3"/>
  <c r="E134" i="3"/>
  <c r="D134" i="3"/>
  <c r="H134" i="3" s="1"/>
  <c r="C134" i="3"/>
  <c r="B134" i="3"/>
  <c r="L133" i="3"/>
  <c r="K133" i="3"/>
  <c r="M133" i="3" s="1"/>
  <c r="D133" i="3"/>
  <c r="H133" i="3" s="1"/>
  <c r="C133" i="3"/>
  <c r="E133" i="3" s="1"/>
  <c r="B133" i="3"/>
  <c r="I133" i="3" s="1"/>
  <c r="L132" i="3"/>
  <c r="K132" i="3"/>
  <c r="H132" i="3"/>
  <c r="D132" i="3"/>
  <c r="C132" i="3"/>
  <c r="B132" i="3"/>
  <c r="J132" i="3" s="1"/>
  <c r="L131" i="3"/>
  <c r="K131" i="3"/>
  <c r="I131" i="3"/>
  <c r="H131" i="3"/>
  <c r="E131" i="3"/>
  <c r="D131" i="3"/>
  <c r="C131" i="3"/>
  <c r="N131" i="3" s="1"/>
  <c r="B131" i="3"/>
  <c r="J131" i="3" s="1"/>
  <c r="N130" i="3"/>
  <c r="L130" i="3"/>
  <c r="J130" i="3"/>
  <c r="I130" i="3"/>
  <c r="E130" i="3"/>
  <c r="D130" i="3"/>
  <c r="H130" i="3" s="1"/>
  <c r="C130" i="3"/>
  <c r="B130" i="3"/>
  <c r="K130" i="3" s="1"/>
  <c r="N129" i="3"/>
  <c r="K129" i="3"/>
  <c r="D129" i="3"/>
  <c r="H129" i="3" s="1"/>
  <c r="C129" i="3"/>
  <c r="E129" i="3" s="1"/>
  <c r="B129" i="3"/>
  <c r="L128" i="3"/>
  <c r="K128" i="3"/>
  <c r="D128" i="3"/>
  <c r="H128" i="3" s="1"/>
  <c r="C128" i="3"/>
  <c r="B128" i="3"/>
  <c r="J128" i="3" s="1"/>
  <c r="L127" i="3"/>
  <c r="K127" i="3"/>
  <c r="I127" i="3"/>
  <c r="E127" i="3"/>
  <c r="D127" i="3"/>
  <c r="H127" i="3" s="1"/>
  <c r="C127" i="3"/>
  <c r="N127" i="3" s="1"/>
  <c r="B127" i="3"/>
  <c r="J127" i="3" s="1"/>
  <c r="N126" i="3"/>
  <c r="E126" i="3"/>
  <c r="D126" i="3"/>
  <c r="H126" i="3" s="1"/>
  <c r="C126" i="3"/>
  <c r="B126" i="3"/>
  <c r="L125" i="3"/>
  <c r="D125" i="3"/>
  <c r="H125" i="3" s="1"/>
  <c r="C125" i="3"/>
  <c r="E125" i="3" s="1"/>
  <c r="B125" i="3"/>
  <c r="L124" i="3"/>
  <c r="K124" i="3"/>
  <c r="H124" i="3"/>
  <c r="D124" i="3"/>
  <c r="C124" i="3"/>
  <c r="B124" i="3"/>
  <c r="J124" i="3" s="1"/>
  <c r="M123" i="3"/>
  <c r="L123" i="3"/>
  <c r="K123" i="3"/>
  <c r="I123" i="3"/>
  <c r="H123" i="3"/>
  <c r="D123" i="3"/>
  <c r="E123" i="3" s="1"/>
  <c r="C123" i="3"/>
  <c r="N123" i="3" s="1"/>
  <c r="B123" i="3"/>
  <c r="J123" i="3" s="1"/>
  <c r="N122" i="3"/>
  <c r="J122" i="3"/>
  <c r="I122" i="3"/>
  <c r="E122" i="3"/>
  <c r="D122" i="3"/>
  <c r="H122" i="3" s="1"/>
  <c r="C122" i="3"/>
  <c r="B122" i="3"/>
  <c r="K121" i="3"/>
  <c r="J121" i="3"/>
  <c r="D121" i="3"/>
  <c r="H121" i="3" s="1"/>
  <c r="C121" i="3"/>
  <c r="B121" i="3"/>
  <c r="L120" i="3"/>
  <c r="K120" i="3"/>
  <c r="H120" i="3"/>
  <c r="D120" i="3"/>
  <c r="C120" i="3"/>
  <c r="B120" i="3"/>
  <c r="J120" i="3" s="1"/>
  <c r="L119" i="3"/>
  <c r="K119" i="3"/>
  <c r="I119" i="3"/>
  <c r="D119" i="3"/>
  <c r="C119" i="3"/>
  <c r="N119" i="3" s="1"/>
  <c r="B119" i="3"/>
  <c r="J119" i="3" s="1"/>
  <c r="N118" i="3"/>
  <c r="J118" i="3"/>
  <c r="H118" i="3"/>
  <c r="E118" i="3"/>
  <c r="D118" i="3"/>
  <c r="C118" i="3"/>
  <c r="B118" i="3"/>
  <c r="N117" i="3"/>
  <c r="L117" i="3"/>
  <c r="K117" i="3"/>
  <c r="J117" i="3"/>
  <c r="E117" i="3"/>
  <c r="D117" i="3"/>
  <c r="H117" i="3" s="1"/>
  <c r="C117" i="3"/>
  <c r="B117" i="3"/>
  <c r="I117" i="3" s="1"/>
  <c r="K116" i="3"/>
  <c r="J116" i="3"/>
  <c r="D116" i="3"/>
  <c r="H116" i="3" s="1"/>
  <c r="C116" i="3"/>
  <c r="E116" i="3" s="1"/>
  <c r="B116" i="3"/>
  <c r="I116" i="3" s="1"/>
  <c r="L115" i="3"/>
  <c r="K115" i="3"/>
  <c r="I115" i="3"/>
  <c r="H115" i="3"/>
  <c r="E115" i="3"/>
  <c r="D115" i="3"/>
  <c r="C115" i="3"/>
  <c r="N115" i="3" s="1"/>
  <c r="B115" i="3"/>
  <c r="J115" i="3" s="1"/>
  <c r="N114" i="3"/>
  <c r="J114" i="3"/>
  <c r="I114" i="3"/>
  <c r="D114" i="3"/>
  <c r="H114" i="3" s="1"/>
  <c r="C114" i="3"/>
  <c r="B114" i="3"/>
  <c r="K114" i="3" s="1"/>
  <c r="J113" i="3"/>
  <c r="I113" i="3"/>
  <c r="D113" i="3"/>
  <c r="H113" i="3" s="1"/>
  <c r="C113" i="3"/>
  <c r="E113" i="3" s="1"/>
  <c r="B113" i="3"/>
  <c r="L113" i="3" s="1"/>
  <c r="K112" i="3"/>
  <c r="H112" i="3"/>
  <c r="D112" i="3"/>
  <c r="C112" i="3"/>
  <c r="E112" i="3" s="1"/>
  <c r="B112" i="3"/>
  <c r="L112" i="3" s="1"/>
  <c r="L111" i="3"/>
  <c r="K111" i="3"/>
  <c r="I111" i="3"/>
  <c r="D111" i="3"/>
  <c r="H111" i="3" s="1"/>
  <c r="C111" i="3"/>
  <c r="B111" i="3"/>
  <c r="J111" i="3" s="1"/>
  <c r="N110" i="3"/>
  <c r="L110" i="3"/>
  <c r="H110" i="3"/>
  <c r="D110" i="3"/>
  <c r="E110" i="3" s="1"/>
  <c r="C110" i="3"/>
  <c r="B110" i="3"/>
  <c r="E109" i="3"/>
  <c r="D109" i="3"/>
  <c r="H109" i="3" s="1"/>
  <c r="C109" i="3"/>
  <c r="N109" i="3" s="1"/>
  <c r="B109" i="3"/>
  <c r="L108" i="3"/>
  <c r="K108" i="3"/>
  <c r="J108" i="3"/>
  <c r="D108" i="3"/>
  <c r="H108" i="3" s="1"/>
  <c r="C108" i="3"/>
  <c r="E108" i="3" s="1"/>
  <c r="B108" i="3"/>
  <c r="I108" i="3" s="1"/>
  <c r="L107" i="3"/>
  <c r="K107" i="3"/>
  <c r="I107" i="3"/>
  <c r="H107" i="3"/>
  <c r="E107" i="3"/>
  <c r="D107" i="3"/>
  <c r="C107" i="3"/>
  <c r="N107" i="3" s="1"/>
  <c r="B107" i="3"/>
  <c r="J107" i="3" s="1"/>
  <c r="N106" i="3"/>
  <c r="J106" i="3"/>
  <c r="I106" i="3"/>
  <c r="D106" i="3"/>
  <c r="H106" i="3" s="1"/>
  <c r="C106" i="3"/>
  <c r="B106" i="3"/>
  <c r="K106" i="3" s="1"/>
  <c r="M105" i="3"/>
  <c r="K105" i="3"/>
  <c r="J105" i="3"/>
  <c r="I105" i="3"/>
  <c r="E105" i="3"/>
  <c r="D105" i="3"/>
  <c r="H105" i="3" s="1"/>
  <c r="C105" i="3"/>
  <c r="N105" i="3" s="1"/>
  <c r="B105" i="3"/>
  <c r="L105" i="3" s="1"/>
  <c r="N104" i="3"/>
  <c r="L104" i="3"/>
  <c r="H104" i="3"/>
  <c r="D104" i="3"/>
  <c r="C104" i="3"/>
  <c r="E104" i="3" s="1"/>
  <c r="B104" i="3"/>
  <c r="L103" i="3"/>
  <c r="K103" i="3"/>
  <c r="I103" i="3"/>
  <c r="H103" i="3"/>
  <c r="D103" i="3"/>
  <c r="C103" i="3"/>
  <c r="N103" i="3" s="1"/>
  <c r="B103" i="3"/>
  <c r="J103" i="3" s="1"/>
  <c r="N102" i="3"/>
  <c r="L102" i="3"/>
  <c r="I102" i="3"/>
  <c r="D102" i="3"/>
  <c r="E102" i="3" s="1"/>
  <c r="C102" i="3"/>
  <c r="B102" i="3"/>
  <c r="L101" i="3"/>
  <c r="K101" i="3"/>
  <c r="D101" i="3"/>
  <c r="H101" i="3" s="1"/>
  <c r="C101" i="3"/>
  <c r="B101" i="3"/>
  <c r="J101" i="3" s="1"/>
  <c r="L100" i="3"/>
  <c r="K100" i="3"/>
  <c r="D100" i="3"/>
  <c r="H100" i="3" s="1"/>
  <c r="C100" i="3"/>
  <c r="B100" i="3"/>
  <c r="I100" i="3" s="1"/>
  <c r="L99" i="3"/>
  <c r="K99" i="3"/>
  <c r="I99" i="3"/>
  <c r="H99" i="3"/>
  <c r="D99" i="3"/>
  <c r="C99" i="3"/>
  <c r="B99" i="3"/>
  <c r="J99" i="3" s="1"/>
  <c r="N98" i="3"/>
  <c r="L98" i="3"/>
  <c r="J98" i="3"/>
  <c r="H98" i="3"/>
  <c r="E98" i="3"/>
  <c r="D98" i="3"/>
  <c r="C98" i="3"/>
  <c r="B98" i="3"/>
  <c r="N97" i="3"/>
  <c r="K97" i="3"/>
  <c r="J97" i="3"/>
  <c r="E97" i="3"/>
  <c r="D97" i="3"/>
  <c r="H97" i="3" s="1"/>
  <c r="C97" i="3"/>
  <c r="B97" i="3"/>
  <c r="L97" i="3" s="1"/>
  <c r="N96" i="3"/>
  <c r="L96" i="3"/>
  <c r="D96" i="3"/>
  <c r="H96" i="3" s="1"/>
  <c r="C96" i="3"/>
  <c r="B96" i="3"/>
  <c r="L95" i="3"/>
  <c r="K95" i="3"/>
  <c r="M95" i="3" s="1"/>
  <c r="I95" i="3"/>
  <c r="D95" i="3"/>
  <c r="H95" i="3" s="1"/>
  <c r="C95" i="3"/>
  <c r="N95" i="3" s="1"/>
  <c r="B95" i="3"/>
  <c r="J95" i="3" s="1"/>
  <c r="N94" i="3"/>
  <c r="J94" i="3"/>
  <c r="I94" i="3"/>
  <c r="H94" i="3"/>
  <c r="E94" i="3"/>
  <c r="D94" i="3"/>
  <c r="C94" i="3"/>
  <c r="B94" i="3"/>
  <c r="K94" i="3" s="1"/>
  <c r="N93" i="3"/>
  <c r="D93" i="3"/>
  <c r="H93" i="3" s="1"/>
  <c r="C93" i="3"/>
  <c r="E93" i="3" s="1"/>
  <c r="B93" i="3"/>
  <c r="D92" i="3"/>
  <c r="H92" i="3" s="1"/>
  <c r="C92" i="3"/>
  <c r="B92" i="3"/>
  <c r="I92" i="3" s="1"/>
  <c r="M91" i="3"/>
  <c r="L91" i="3"/>
  <c r="K91" i="3"/>
  <c r="I91" i="3"/>
  <c r="D91" i="3"/>
  <c r="C162" i="3" s="1"/>
  <c r="C91" i="3"/>
  <c r="B91" i="3"/>
  <c r="J91" i="3" s="1"/>
  <c r="F74" i="3"/>
  <c r="E74" i="3"/>
  <c r="E69" i="3"/>
  <c r="D69" i="3"/>
  <c r="C69" i="3"/>
  <c r="B69" i="3"/>
  <c r="G69" i="3" s="1"/>
  <c r="D68" i="3"/>
  <c r="C68" i="3"/>
  <c r="C70" i="3" s="1"/>
  <c r="B68" i="3"/>
  <c r="E68" i="3" s="1"/>
  <c r="E67" i="3"/>
  <c r="D67" i="3"/>
  <c r="D70" i="3" s="1"/>
  <c r="C67" i="3"/>
  <c r="B67" i="3"/>
  <c r="G67" i="3" s="1"/>
  <c r="D63" i="3"/>
  <c r="C63" i="3"/>
  <c r="B63" i="3"/>
  <c r="E63" i="3" s="1"/>
  <c r="E62" i="3"/>
  <c r="D62" i="3"/>
  <c r="C62" i="3"/>
  <c r="B62" i="3"/>
  <c r="G62" i="3" s="1"/>
  <c r="D61" i="3"/>
  <c r="C61" i="3"/>
  <c r="B61" i="3"/>
  <c r="E61" i="3" s="1"/>
  <c r="E60" i="3"/>
  <c r="D60" i="3"/>
  <c r="D64" i="3" s="1"/>
  <c r="C60" i="3"/>
  <c r="C64" i="3" s="1"/>
  <c r="B60" i="3"/>
  <c r="G60" i="3" s="1"/>
  <c r="D54" i="3"/>
  <c r="C54" i="3"/>
  <c r="B54" i="3"/>
  <c r="E54" i="3" s="1"/>
  <c r="E53" i="3"/>
  <c r="D53" i="3"/>
  <c r="C53" i="3"/>
  <c r="B53" i="3"/>
  <c r="G53" i="3" s="1"/>
  <c r="D52" i="3"/>
  <c r="C52" i="3"/>
  <c r="B52" i="3"/>
  <c r="E52" i="3" s="1"/>
  <c r="E51" i="3"/>
  <c r="D51" i="3"/>
  <c r="C51" i="3"/>
  <c r="B51" i="3"/>
  <c r="G51" i="3" s="1"/>
  <c r="D50" i="3"/>
  <c r="C50" i="3"/>
  <c r="B50" i="3"/>
  <c r="E50" i="3" s="1"/>
  <c r="E49" i="3"/>
  <c r="D49" i="3"/>
  <c r="C49" i="3"/>
  <c r="B49" i="3"/>
  <c r="G49" i="3" s="1"/>
  <c r="D48" i="3"/>
  <c r="C48" i="3"/>
  <c r="B48" i="3"/>
  <c r="E48" i="3" s="1"/>
  <c r="E47" i="3"/>
  <c r="D47" i="3"/>
  <c r="C47" i="3"/>
  <c r="B47" i="3"/>
  <c r="G47" i="3" s="1"/>
  <c r="D46" i="3"/>
  <c r="C46" i="3"/>
  <c r="B46" i="3"/>
  <c r="E46" i="3" s="1"/>
  <c r="E45" i="3"/>
  <c r="D45" i="3"/>
  <c r="D55" i="3" s="1"/>
  <c r="C45" i="3"/>
  <c r="B45" i="3"/>
  <c r="G45" i="3" s="1"/>
  <c r="C159" i="3" s="1"/>
  <c r="D39" i="3"/>
  <c r="C39" i="3"/>
  <c r="B39" i="3"/>
  <c r="E39" i="3" s="1"/>
  <c r="E38" i="3"/>
  <c r="D38" i="3"/>
  <c r="D40" i="3" s="1"/>
  <c r="C38" i="3"/>
  <c r="B38" i="3"/>
  <c r="G38" i="3" s="1"/>
  <c r="D37" i="3"/>
  <c r="C37" i="3"/>
  <c r="C40" i="3" s="1"/>
  <c r="B37" i="3"/>
  <c r="E37" i="3" s="1"/>
  <c r="E32" i="3"/>
  <c r="D32" i="3"/>
  <c r="C32" i="3"/>
  <c r="B32" i="3"/>
  <c r="G32" i="3" s="1"/>
  <c r="D31" i="3"/>
  <c r="C31" i="3"/>
  <c r="B31" i="3"/>
  <c r="E31" i="3" s="1"/>
  <c r="E30" i="3"/>
  <c r="D30" i="3"/>
  <c r="C30" i="3"/>
  <c r="B30" i="3"/>
  <c r="G30" i="3" s="1"/>
  <c r="D29" i="3"/>
  <c r="C29" i="3"/>
  <c r="C33" i="3" s="1"/>
  <c r="B29" i="3"/>
  <c r="E29" i="3" s="1"/>
  <c r="E28" i="3"/>
  <c r="D28" i="3"/>
  <c r="D33" i="3" s="1"/>
  <c r="C28" i="3"/>
  <c r="B28" i="3"/>
  <c r="C23" i="3"/>
  <c r="C22" i="3"/>
  <c r="Q8" i="6" s="1"/>
  <c r="C21" i="3"/>
  <c r="M8" i="6" s="1"/>
  <c r="C20" i="3"/>
  <c r="E10" i="6" s="1"/>
  <c r="C18" i="3"/>
  <c r="C17" i="3"/>
  <c r="C12" i="3"/>
  <c r="C11" i="3"/>
  <c r="C10" i="3"/>
  <c r="C9" i="3"/>
  <c r="A3" i="6" s="1"/>
  <c r="C8" i="3"/>
  <c r="C7" i="3"/>
  <c r="Q1" i="6" s="1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Q2" i="2"/>
  <c r="Q3" i="2" s="1"/>
  <c r="P2" i="2"/>
  <c r="O2" i="2"/>
  <c r="F55" i="6" l="1"/>
  <c r="F57" i="6"/>
  <c r="J57" i="6" s="1"/>
  <c r="F59" i="6"/>
  <c r="J59" i="6" s="1"/>
  <c r="Q4" i="2"/>
  <c r="H55" i="6"/>
  <c r="H57" i="6"/>
  <c r="H59" i="6"/>
  <c r="E168" i="3"/>
  <c r="C14" i="3"/>
  <c r="E8" i="6"/>
  <c r="E17" i="6"/>
  <c r="I17" i="6" s="1"/>
  <c r="K17" i="6" s="1"/>
  <c r="B33" i="3"/>
  <c r="F63" i="3"/>
  <c r="B70" i="3"/>
  <c r="A74" i="3"/>
  <c r="A8" i="6"/>
  <c r="C30" i="4"/>
  <c r="E13" i="4"/>
  <c r="E14" i="6"/>
  <c r="I14" i="6" s="1"/>
  <c r="K14" i="6" s="1"/>
  <c r="F29" i="3"/>
  <c r="F31" i="3"/>
  <c r="F37" i="3"/>
  <c r="F39" i="3"/>
  <c r="F46" i="3"/>
  <c r="F48" i="3"/>
  <c r="F50" i="3"/>
  <c r="F52" i="3"/>
  <c r="F54" i="3"/>
  <c r="F61" i="3"/>
  <c r="F68" i="3"/>
  <c r="N91" i="3"/>
  <c r="E91" i="3"/>
  <c r="L93" i="3"/>
  <c r="J93" i="3"/>
  <c r="L109" i="3"/>
  <c r="I109" i="3"/>
  <c r="N111" i="3"/>
  <c r="E111" i="3"/>
  <c r="C13" i="3"/>
  <c r="C19" i="3"/>
  <c r="G29" i="3"/>
  <c r="G31" i="3"/>
  <c r="G37" i="3"/>
  <c r="C9" i="7" s="1"/>
  <c r="M58" i="6" s="1"/>
  <c r="G39" i="3"/>
  <c r="G46" i="3"/>
  <c r="G48" i="3"/>
  <c r="G50" i="3"/>
  <c r="G52" i="3"/>
  <c r="G54" i="3"/>
  <c r="G61" i="3"/>
  <c r="G63" i="3"/>
  <c r="G68" i="3"/>
  <c r="J92" i="3"/>
  <c r="I93" i="3"/>
  <c r="E95" i="3"/>
  <c r="I104" i="3"/>
  <c r="J104" i="3"/>
  <c r="J109" i="3"/>
  <c r="N116" i="3"/>
  <c r="E121" i="3"/>
  <c r="N121" i="3"/>
  <c r="N125" i="3"/>
  <c r="N128" i="3"/>
  <c r="E128" i="3"/>
  <c r="E135" i="3"/>
  <c r="H169" i="3"/>
  <c r="G170" i="3"/>
  <c r="C170" i="3"/>
  <c r="G169" i="3"/>
  <c r="C169" i="3"/>
  <c r="G168" i="3"/>
  <c r="C168" i="3"/>
  <c r="F169" i="3"/>
  <c r="B169" i="3"/>
  <c r="F168" i="3"/>
  <c r="B168" i="3"/>
  <c r="D169" i="3"/>
  <c r="D168" i="3"/>
  <c r="I169" i="3"/>
  <c r="I168" i="3"/>
  <c r="E169" i="3"/>
  <c r="H170" i="3"/>
  <c r="H168" i="3"/>
  <c r="U10" i="6"/>
  <c r="F28" i="3"/>
  <c r="F30" i="3"/>
  <c r="F32" i="3"/>
  <c r="F38" i="3"/>
  <c r="B40" i="3"/>
  <c r="F45" i="3"/>
  <c r="F47" i="3"/>
  <c r="F49" i="3"/>
  <c r="F51" i="3"/>
  <c r="F53" i="3"/>
  <c r="B55" i="3"/>
  <c r="F60" i="3"/>
  <c r="F64" i="3" s="1"/>
  <c r="F62" i="3"/>
  <c r="B64" i="3"/>
  <c r="F67" i="3"/>
  <c r="F70" i="3" s="1"/>
  <c r="F69" i="3"/>
  <c r="K92" i="3"/>
  <c r="K93" i="3"/>
  <c r="I96" i="3"/>
  <c r="K96" i="3"/>
  <c r="N99" i="3"/>
  <c r="E99" i="3"/>
  <c r="K109" i="3"/>
  <c r="N113" i="3"/>
  <c r="E114" i="3"/>
  <c r="H119" i="3"/>
  <c r="E119" i="3"/>
  <c r="L126" i="3"/>
  <c r="K126" i="3"/>
  <c r="J126" i="3"/>
  <c r="I126" i="3"/>
  <c r="N133" i="3"/>
  <c r="N136" i="3"/>
  <c r="E136" i="3"/>
  <c r="A10" i="6"/>
  <c r="G28" i="3"/>
  <c r="C157" i="3"/>
  <c r="C158" i="3"/>
  <c r="C55" i="3"/>
  <c r="H91" i="3"/>
  <c r="L92" i="3"/>
  <c r="M136" i="3" s="1"/>
  <c r="E96" i="3"/>
  <c r="J96" i="3"/>
  <c r="I97" i="3"/>
  <c r="K98" i="3"/>
  <c r="M98" i="3" s="1"/>
  <c r="I98" i="3"/>
  <c r="J100" i="3"/>
  <c r="N101" i="3"/>
  <c r="E101" i="3"/>
  <c r="I101" i="3"/>
  <c r="K102" i="3"/>
  <c r="J102" i="3"/>
  <c r="H102" i="3"/>
  <c r="E103" i="3"/>
  <c r="K104" i="3"/>
  <c r="E106" i="3"/>
  <c r="N108" i="3"/>
  <c r="F106" i="3" s="1"/>
  <c r="G106" i="3" s="1"/>
  <c r="K110" i="3"/>
  <c r="J110" i="3"/>
  <c r="I110" i="3"/>
  <c r="I112" i="3"/>
  <c r="J112" i="3"/>
  <c r="L118" i="3"/>
  <c r="K118" i="3"/>
  <c r="I118" i="3"/>
  <c r="N120" i="3"/>
  <c r="E120" i="3"/>
  <c r="I125" i="3"/>
  <c r="K125" i="3"/>
  <c r="J125" i="3"/>
  <c r="J133" i="3"/>
  <c r="L134" i="3"/>
  <c r="K134" i="3"/>
  <c r="J134" i="3"/>
  <c r="I134" i="3"/>
  <c r="H56" i="6"/>
  <c r="F56" i="6"/>
  <c r="D56" i="6"/>
  <c r="L106" i="3"/>
  <c r="N112" i="3"/>
  <c r="L114" i="3"/>
  <c r="N124" i="3"/>
  <c r="F124" i="3" s="1"/>
  <c r="G124" i="3" s="1"/>
  <c r="E124" i="3"/>
  <c r="I129" i="3"/>
  <c r="L129" i="3"/>
  <c r="N132" i="3"/>
  <c r="E132" i="3"/>
  <c r="I137" i="3"/>
  <c r="J137" i="3"/>
  <c r="H58" i="6"/>
  <c r="F58" i="6"/>
  <c r="D58" i="6"/>
  <c r="J58" i="6" s="1"/>
  <c r="E92" i="3"/>
  <c r="N92" i="3"/>
  <c r="F103" i="3" s="1"/>
  <c r="G103" i="3" s="1"/>
  <c r="L94" i="3"/>
  <c r="F95" i="3"/>
  <c r="G95" i="3" s="1"/>
  <c r="E100" i="3"/>
  <c r="N100" i="3"/>
  <c r="K113" i="3"/>
  <c r="L116" i="3"/>
  <c r="M130" i="3" s="1"/>
  <c r="I121" i="3"/>
  <c r="L121" i="3"/>
  <c r="L122" i="3"/>
  <c r="K122" i="3"/>
  <c r="M122" i="3" s="1"/>
  <c r="J129" i="3"/>
  <c r="E137" i="3"/>
  <c r="N137" i="3"/>
  <c r="N138" i="3"/>
  <c r="F139" i="3"/>
  <c r="G139" i="3" s="1"/>
  <c r="I120" i="3"/>
  <c r="I124" i="3"/>
  <c r="I128" i="3"/>
  <c r="I132" i="3"/>
  <c r="I136" i="3"/>
  <c r="J138" i="3"/>
  <c r="J55" i="6"/>
  <c r="K138" i="3"/>
  <c r="J56" i="6" l="1"/>
  <c r="B170" i="3"/>
  <c r="Q5" i="2"/>
  <c r="E170" i="3"/>
  <c r="I170" i="3"/>
  <c r="D170" i="3"/>
  <c r="F170" i="3"/>
  <c r="M134" i="3"/>
  <c r="F113" i="3"/>
  <c r="G113" i="3" s="1"/>
  <c r="M135" i="3"/>
  <c r="F114" i="3"/>
  <c r="G114" i="3" s="1"/>
  <c r="M106" i="3"/>
  <c r="B38" i="4"/>
  <c r="D74" i="3"/>
  <c r="A75" i="3"/>
  <c r="C74" i="3"/>
  <c r="C38" i="4" s="1"/>
  <c r="B74" i="3"/>
  <c r="F93" i="3"/>
  <c r="G93" i="3" s="1"/>
  <c r="F140" i="3"/>
  <c r="G140" i="3" s="1"/>
  <c r="F138" i="3"/>
  <c r="G138" i="3" s="1"/>
  <c r="F135" i="3"/>
  <c r="G135" i="3" s="1"/>
  <c r="M113" i="3"/>
  <c r="M132" i="3"/>
  <c r="M116" i="3"/>
  <c r="M108" i="3"/>
  <c r="M128" i="3"/>
  <c r="F101" i="3"/>
  <c r="G101" i="3" s="1"/>
  <c r="C7" i="7"/>
  <c r="M56" i="6" s="1"/>
  <c r="F136" i="3"/>
  <c r="G136" i="3" s="1"/>
  <c r="M111" i="3"/>
  <c r="M93" i="3"/>
  <c r="M119" i="3"/>
  <c r="F55" i="3"/>
  <c r="F128" i="3"/>
  <c r="G128" i="3" s="1"/>
  <c r="M112" i="3"/>
  <c r="F40" i="3"/>
  <c r="M99" i="3"/>
  <c r="M103" i="3"/>
  <c r="M94" i="3"/>
  <c r="M101" i="3"/>
  <c r="M100" i="3"/>
  <c r="M115" i="3"/>
  <c r="M120" i="3"/>
  <c r="M137" i="3"/>
  <c r="F100" i="3"/>
  <c r="G100" i="3" s="1"/>
  <c r="F92" i="3"/>
  <c r="G92" i="3" s="1"/>
  <c r="F105" i="3"/>
  <c r="G105" i="3" s="1"/>
  <c r="F126" i="3"/>
  <c r="G126" i="3" s="1"/>
  <c r="F131" i="3"/>
  <c r="G131" i="3" s="1"/>
  <c r="F96" i="3"/>
  <c r="G96" i="3" s="1"/>
  <c r="M124" i="3"/>
  <c r="F115" i="3"/>
  <c r="G115" i="3" s="1"/>
  <c r="F107" i="3"/>
  <c r="G107" i="3" s="1"/>
  <c r="F120" i="3"/>
  <c r="G120" i="3" s="1"/>
  <c r="M114" i="3"/>
  <c r="M104" i="3"/>
  <c r="M102" i="3"/>
  <c r="C160" i="3"/>
  <c r="C8" i="7"/>
  <c r="M57" i="6" s="1"/>
  <c r="U8" i="6"/>
  <c r="F133" i="3"/>
  <c r="G133" i="3" s="1"/>
  <c r="M126" i="3"/>
  <c r="M109" i="3"/>
  <c r="F99" i="3"/>
  <c r="G99" i="3" s="1"/>
  <c r="M92" i="3"/>
  <c r="M139" i="3"/>
  <c r="F33" i="3"/>
  <c r="F125" i="3"/>
  <c r="G125" i="3" s="1"/>
  <c r="F119" i="3"/>
  <c r="G119" i="3" s="1"/>
  <c r="M97" i="3"/>
  <c r="M121" i="3"/>
  <c r="C31" i="4"/>
  <c r="C33" i="4" s="1"/>
  <c r="F112" i="3"/>
  <c r="G112" i="3" s="1"/>
  <c r="M118" i="3"/>
  <c r="F108" i="3"/>
  <c r="G108" i="3" s="1"/>
  <c r="F94" i="3"/>
  <c r="G94" i="3" s="1"/>
  <c r="M138" i="3"/>
  <c r="F137" i="3"/>
  <c r="G137" i="3" s="1"/>
  <c r="F127" i="3"/>
  <c r="G127" i="3" s="1"/>
  <c r="F132" i="3"/>
  <c r="G132" i="3" s="1"/>
  <c r="M131" i="3"/>
  <c r="M125" i="3"/>
  <c r="M110" i="3"/>
  <c r="F130" i="3"/>
  <c r="G130" i="3" s="1"/>
  <c r="M107" i="3"/>
  <c r="M96" i="3"/>
  <c r="M127" i="3"/>
  <c r="M129" i="3"/>
  <c r="F123" i="3"/>
  <c r="G123" i="3" s="1"/>
  <c r="F116" i="3"/>
  <c r="G116" i="3" s="1"/>
  <c r="I8" i="6"/>
  <c r="E15" i="6"/>
  <c r="I15" i="6" s="1"/>
  <c r="K15" i="6" s="1"/>
  <c r="C32" i="4"/>
  <c r="M117" i="3"/>
  <c r="C5" i="7"/>
  <c r="M54" i="6" s="1"/>
  <c r="F121" i="3"/>
  <c r="G121" i="3" s="1"/>
  <c r="F111" i="3"/>
  <c r="G111" i="3" s="1"/>
  <c r="F91" i="3"/>
  <c r="F122" i="3"/>
  <c r="G122" i="3" s="1"/>
  <c r="F118" i="3"/>
  <c r="G118" i="3" s="1"/>
  <c r="F98" i="3"/>
  <c r="G98" i="3" s="1"/>
  <c r="F117" i="3"/>
  <c r="G117" i="3" s="1"/>
  <c r="F110" i="3"/>
  <c r="G110" i="3" s="1"/>
  <c r="F102" i="3"/>
  <c r="G102" i="3" s="1"/>
  <c r="F97" i="3"/>
  <c r="G97" i="3" s="1"/>
  <c r="F129" i="3"/>
  <c r="G129" i="3" s="1"/>
  <c r="F109" i="3"/>
  <c r="G109" i="3" s="1"/>
  <c r="F104" i="3"/>
  <c r="G104" i="3" s="1"/>
  <c r="B23" i="4"/>
  <c r="C23" i="4" s="1"/>
  <c r="E14" i="4"/>
  <c r="B22" i="4"/>
  <c r="C22" i="4" s="1"/>
  <c r="B24" i="4"/>
  <c r="C24" i="4" s="1"/>
  <c r="F134" i="3"/>
  <c r="G134" i="3" s="1"/>
  <c r="F171" i="3" l="1"/>
  <c r="D172" i="3"/>
  <c r="H171" i="3"/>
  <c r="B171" i="3"/>
  <c r="D171" i="3"/>
  <c r="I171" i="3"/>
  <c r="E171" i="3"/>
  <c r="H172" i="3"/>
  <c r="Q7" i="2"/>
  <c r="H173" i="3" s="1"/>
  <c r="Q6" i="2"/>
  <c r="I172" i="3" s="1"/>
  <c r="C171" i="3"/>
  <c r="B172" i="3"/>
  <c r="G171" i="3"/>
  <c r="C161" i="3"/>
  <c r="C10" i="7" s="1"/>
  <c r="Q8" i="2"/>
  <c r="C173" i="3"/>
  <c r="B39" i="4"/>
  <c r="B75" i="3"/>
  <c r="D75" i="3"/>
  <c r="A76" i="3"/>
  <c r="C75" i="3"/>
  <c r="B154" i="3"/>
  <c r="B153" i="3"/>
  <c r="B152" i="3"/>
  <c r="B151" i="3"/>
  <c r="B150" i="3"/>
  <c r="B149" i="3"/>
  <c r="N18" i="6" s="1"/>
  <c r="B148" i="3"/>
  <c r="N17" i="6" s="1"/>
  <c r="B147" i="3"/>
  <c r="N16" i="6" s="1"/>
  <c r="B146" i="3"/>
  <c r="N15" i="6" s="1"/>
  <c r="B145" i="3"/>
  <c r="C153" i="3"/>
  <c r="E153" i="3" s="1"/>
  <c r="C151" i="3"/>
  <c r="E151" i="3" s="1"/>
  <c r="C149" i="3"/>
  <c r="C147" i="3"/>
  <c r="C145" i="3"/>
  <c r="D154" i="3"/>
  <c r="D152" i="3"/>
  <c r="D150" i="3"/>
  <c r="D148" i="3"/>
  <c r="D146" i="3"/>
  <c r="D151" i="3"/>
  <c r="D147" i="3"/>
  <c r="C154" i="3"/>
  <c r="E154" i="3" s="1"/>
  <c r="C150" i="3"/>
  <c r="E150" i="3" s="1"/>
  <c r="C146" i="3"/>
  <c r="C148" i="3"/>
  <c r="D153" i="3"/>
  <c r="D145" i="3"/>
  <c r="G91" i="3"/>
  <c r="C152" i="3"/>
  <c r="E152" i="3" s="1"/>
  <c r="D149" i="3"/>
  <c r="C163" i="3"/>
  <c r="E15" i="4"/>
  <c r="E17" i="4" s="1"/>
  <c r="E18" i="4" s="1"/>
  <c r="D173" i="3" l="1"/>
  <c r="G173" i="3"/>
  <c r="E174" i="3"/>
  <c r="B173" i="3"/>
  <c r="E173" i="3"/>
  <c r="E172" i="3"/>
  <c r="F173" i="3"/>
  <c r="I173" i="3"/>
  <c r="F172" i="3"/>
  <c r="C172" i="3"/>
  <c r="G172" i="3"/>
  <c r="F75" i="3"/>
  <c r="E75" i="3"/>
  <c r="C39" i="4"/>
  <c r="Q9" i="2"/>
  <c r="S14" i="6"/>
  <c r="E145" i="3"/>
  <c r="V14" i="6" s="1"/>
  <c r="B40" i="4"/>
  <c r="D76" i="3"/>
  <c r="A77" i="3"/>
  <c r="C76" i="3"/>
  <c r="B76" i="3"/>
  <c r="B174" i="3"/>
  <c r="I175" i="3"/>
  <c r="I174" i="3"/>
  <c r="E148" i="3"/>
  <c r="V17" i="6" s="1"/>
  <c r="S17" i="6"/>
  <c r="S16" i="6"/>
  <c r="E147" i="3"/>
  <c r="V16" i="6" s="1"/>
  <c r="N14" i="6"/>
  <c r="F174" i="3"/>
  <c r="C174" i="3"/>
  <c r="D174" i="3"/>
  <c r="H174" i="3"/>
  <c r="E146" i="3"/>
  <c r="V15" i="6" s="1"/>
  <c r="S15" i="6"/>
  <c r="S18" i="6"/>
  <c r="E149" i="3"/>
  <c r="V18" i="6" s="1"/>
  <c r="G174" i="3"/>
  <c r="M10" i="6"/>
  <c r="E16" i="6"/>
  <c r="I16" i="6" s="1"/>
  <c r="K16" i="6" s="1"/>
  <c r="B41" i="4" l="1"/>
  <c r="A78" i="3"/>
  <c r="B77" i="3"/>
  <c r="D77" i="3"/>
  <c r="C77" i="3"/>
  <c r="B175" i="3"/>
  <c r="Q10" i="2"/>
  <c r="C175" i="3"/>
  <c r="E175" i="3"/>
  <c r="G175" i="3"/>
  <c r="D175" i="3"/>
  <c r="F175" i="3"/>
  <c r="H175" i="3"/>
  <c r="C6" i="7"/>
  <c r="M55" i="6" s="1"/>
  <c r="C40" i="4"/>
  <c r="F76" i="3"/>
  <c r="E76" i="3"/>
  <c r="G176" i="3" l="1"/>
  <c r="E176" i="3"/>
  <c r="C177" i="3"/>
  <c r="B176" i="3"/>
  <c r="Q11" i="2"/>
  <c r="C176" i="3"/>
  <c r="D176" i="3"/>
  <c r="F176" i="3"/>
  <c r="I177" i="3"/>
  <c r="Q12" i="2"/>
  <c r="F178" i="3" s="1"/>
  <c r="H176" i="3"/>
  <c r="C178" i="3"/>
  <c r="I176" i="3"/>
  <c r="G177" i="3"/>
  <c r="E178" i="3"/>
  <c r="B42" i="4"/>
  <c r="A79" i="3"/>
  <c r="C78" i="3"/>
  <c r="D78" i="3"/>
  <c r="B78" i="3"/>
  <c r="E77" i="3"/>
  <c r="C41" i="4"/>
  <c r="F77" i="3"/>
  <c r="G178" i="3" l="1"/>
  <c r="I178" i="3"/>
  <c r="G179" i="3"/>
  <c r="D178" i="3"/>
  <c r="H178" i="3"/>
  <c r="Q13" i="2"/>
  <c r="I179" i="3" s="1"/>
  <c r="H177" i="3"/>
  <c r="E177" i="3"/>
  <c r="B178" i="3"/>
  <c r="F177" i="3"/>
  <c r="C42" i="4"/>
  <c r="F78" i="3"/>
  <c r="E78" i="3"/>
  <c r="B43" i="4"/>
  <c r="D79" i="3"/>
  <c r="C79" i="3"/>
  <c r="A80" i="3"/>
  <c r="B79" i="3"/>
  <c r="Q14" i="2"/>
  <c r="Q15" i="2" s="1"/>
  <c r="Q16" i="2" s="1"/>
  <c r="Q17" i="2" s="1"/>
  <c r="I180" i="3"/>
  <c r="D179" i="3"/>
  <c r="H179" i="3"/>
  <c r="F180" i="3"/>
  <c r="C179" i="3"/>
  <c r="C181" i="3" l="1"/>
  <c r="E179" i="3"/>
  <c r="D182" i="3"/>
  <c r="B180" i="3"/>
  <c r="E181" i="3"/>
  <c r="C180" i="3"/>
  <c r="I181" i="3"/>
  <c r="B182" i="3"/>
  <c r="G180" i="3"/>
  <c r="E79" i="3"/>
  <c r="C43" i="4"/>
  <c r="F79" i="3"/>
  <c r="Q18" i="2"/>
  <c r="B44" i="4"/>
  <c r="A81" i="3"/>
  <c r="C80" i="3"/>
  <c r="D80" i="3"/>
  <c r="B80" i="3"/>
  <c r="B45" i="4" l="1"/>
  <c r="D81" i="3"/>
  <c r="C81" i="3"/>
  <c r="A82" i="3"/>
  <c r="B81" i="3"/>
  <c r="C44" i="4"/>
  <c r="E80" i="3"/>
  <c r="F80" i="3"/>
  <c r="Q19" i="2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H181" i="3" l="1"/>
  <c r="H182" i="3"/>
  <c r="B177" i="3"/>
  <c r="B181" i="3"/>
  <c r="E180" i="3"/>
  <c r="D181" i="3"/>
  <c r="B179" i="3"/>
  <c r="C183" i="3"/>
  <c r="D177" i="3"/>
  <c r="F179" i="3"/>
  <c r="G181" i="3"/>
  <c r="E182" i="3"/>
  <c r="F182" i="3"/>
  <c r="H180" i="3"/>
  <c r="F181" i="3"/>
  <c r="C182" i="3"/>
  <c r="I182" i="3"/>
  <c r="D180" i="3"/>
  <c r="G182" i="3"/>
  <c r="B46" i="4"/>
  <c r="A83" i="3"/>
  <c r="C82" i="3"/>
  <c r="D82" i="3"/>
  <c r="B82" i="3"/>
  <c r="E81" i="3"/>
  <c r="C45" i="4"/>
  <c r="F81" i="3"/>
  <c r="C46" i="4" l="1"/>
  <c r="F82" i="3"/>
  <c r="E82" i="3"/>
  <c r="B47" i="4"/>
  <c r="C83" i="3"/>
  <c r="A84" i="3"/>
  <c r="B83" i="3"/>
  <c r="D83" i="3"/>
  <c r="B48" i="4" l="1"/>
  <c r="A85" i="3"/>
  <c r="C84" i="3"/>
  <c r="B84" i="3"/>
  <c r="D84" i="3"/>
  <c r="E83" i="3"/>
  <c r="C47" i="4"/>
  <c r="F83" i="3"/>
  <c r="C48" i="4" l="1"/>
  <c r="F84" i="3"/>
  <c r="E84" i="3"/>
  <c r="B49" i="4"/>
  <c r="A86" i="3"/>
  <c r="B85" i="3"/>
  <c r="D85" i="3"/>
  <c r="C85" i="3"/>
  <c r="C86" i="3" l="1"/>
  <c r="D86" i="3"/>
  <c r="B86" i="3"/>
  <c r="E85" i="3"/>
  <c r="C49" i="4"/>
  <c r="F85" i="3"/>
  <c r="C53" i="4" l="1"/>
  <c r="C51" i="4"/>
  <c r="C11" i="7" s="1"/>
  <c r="C54" i="4"/>
  <c r="C55" i="4"/>
  <c r="C52" i="4"/>
  <c r="F86" i="3"/>
  <c r="E86" i="3"/>
  <c r="C57" i="4" l="1"/>
  <c r="D49" i="4"/>
  <c r="E49" i="4" s="1"/>
  <c r="D47" i="4"/>
  <c r="E47" i="4" s="1"/>
  <c r="D45" i="4"/>
  <c r="E45" i="4" s="1"/>
  <c r="D43" i="4"/>
  <c r="E43" i="4" s="1"/>
  <c r="D41" i="4"/>
  <c r="E41" i="4" s="1"/>
  <c r="D39" i="4"/>
  <c r="E39" i="4" s="1"/>
  <c r="D46" i="4"/>
  <c r="E46" i="4" s="1"/>
  <c r="D42" i="4"/>
  <c r="E42" i="4" s="1"/>
  <c r="D38" i="4"/>
  <c r="E38" i="4" s="1"/>
  <c r="C56" i="4"/>
  <c r="C12" i="7" s="1"/>
  <c r="D48" i="4"/>
  <c r="E48" i="4" s="1"/>
  <c r="D40" i="4"/>
  <c r="E40" i="4" s="1"/>
  <c r="D44" i="4"/>
  <c r="E44" i="4" s="1"/>
  <c r="G10" i="3"/>
</calcChain>
</file>

<file path=xl/sharedStrings.xml><?xml version="1.0" encoding="utf-8"?>
<sst xmlns="http://schemas.openxmlformats.org/spreadsheetml/2006/main" count="2549" uniqueCount="550">
  <si>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</si>
  <si>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</si>
  <si>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</si>
  <si>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</si>
  <si>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</si>
  <si>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</si>
  <si>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</si>
  <si>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</si>
  <si>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</si>
  <si>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</si>
  <si>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</si>
  <si>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</si>
  <si>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</si>
  <si>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</si>
  <si>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Month_Start</t>
  </si>
  <si>
    <t>Tenure_Years (DATEDIF)</t>
  </si>
  <si>
    <t>Filter_Match_No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</si>
  <si>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</si>
  <si>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</si>
  <si>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</si>
  <si>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</si>
  <si>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</si>
  <si>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</si>
  <si>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</si>
  <si>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</si>
  <si>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</si>
  <si>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</si>
  <si>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</si>
  <si>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</si>
  <si>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</si>
  <si>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</si>
  <si>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</si>
  <si>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</si>
  <si>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</si>
  <si>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</si>
  <si>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</si>
  <si>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</si>
  <si>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</si>
  <si>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</si>
  <si>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</si>
  <si>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</si>
  <si>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</si>
  <si>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</si>
  <si>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</si>
  <si>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</si>
  <si>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</si>
  <si>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</si>
  <si>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</si>
  <si>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</si>
  <si>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</si>
  <si>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</si>
  <si>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</si>
  <si>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</si>
  <si>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</si>
  <si>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</si>
  <si>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</si>
  <si>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</si>
  <si>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</si>
  <si>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</si>
  <si>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</si>
  <si>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</si>
  <si>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</si>
  <si>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</si>
  <si>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</si>
  <si>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</si>
  <si>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</si>
  <si>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</si>
  <si>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</si>
  <si>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</si>
  <si>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</si>
  <si>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</si>
  <si>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</si>
  <si>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</si>
  <si>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</si>
  <si>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</si>
  <si>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</si>
  <si>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</si>
  <si>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</si>
  <si>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</si>
  <si>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</si>
  <si>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</si>
  <si>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</si>
  <si>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</si>
  <si>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</si>
  <si>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</si>
  <si>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</si>
  <si>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</si>
  <si>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</si>
  <si>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</si>
  <si>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</si>
  <si>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</si>
  <si>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</si>
  <si>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</si>
  <si>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</si>
  <si>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</si>
  <si>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</si>
  <si>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</si>
  <si>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</si>
  <si>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</si>
  <si>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</si>
  <si>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</si>
  <si>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</si>
  <si>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</si>
  <si>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</si>
  <si>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</si>
  <si>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</si>
  <si>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</si>
  <si>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</si>
  <si>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</si>
  <si>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</si>
  <si>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</si>
  <si>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</si>
  <si>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</si>
  <si>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</si>
  <si>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</si>
  <si>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</si>
  <si>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</si>
  <si>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</si>
  <si>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</si>
  <si>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</si>
  <si>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</si>
  <si>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</si>
  <si>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</si>
  <si>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</si>
  <si>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</si>
  <si>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</si>
  <si>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</si>
  <si>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</si>
  <si>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</si>
  <si>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</si>
  <si>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</si>
  <si>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</si>
  <si>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</si>
  <si>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</si>
  <si>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</si>
  <si>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</si>
  <si>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</si>
  <si>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</si>
  <si>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</si>
  <si>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</si>
  <si>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</si>
  <si>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</si>
  <si>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</si>
  <si>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</si>
  <si>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</si>
  <si>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</si>
  <si>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</si>
  <si>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</si>
  <si>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</si>
  <si>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</si>
  <si>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</si>
  <si>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</si>
  <si>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</si>
  <si>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</si>
  <si>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</si>
  <si>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</si>
  <si>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</si>
  <si>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</si>
  <si>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</si>
  <si>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</si>
  <si>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</si>
  <si>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</si>
  <si>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</si>
  <si>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</si>
  <si>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</si>
  <si>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</si>
  <si>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</si>
  <si>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</si>
  <si>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</si>
  <si>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</si>
  <si>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</si>
  <si>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</si>
  <si>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</si>
  <si>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</si>
  <si>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</si>
  <si>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</si>
  <si>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</si>
  <si>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</si>
  <si>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</si>
  <si>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</si>
  <si>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</si>
  <si>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</si>
  <si>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</si>
  <si>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</si>
  <si>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</si>
  <si>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</si>
  <si>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</si>
  <si>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</si>
  <si>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</si>
  <si>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</si>
  <si>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</si>
  <si>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</si>
  <si>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</si>
  <si>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</si>
  <si>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</si>
  <si>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</si>
  <si>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</si>
  <si>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</si>
  <si>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</si>
  <si>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</si>
  <si>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</si>
  <si>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</si>
  <si>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</si>
  <si>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</si>
  <si>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</si>
  <si>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</si>
  <si>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</si>
  <si>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</si>
  <si>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</si>
  <si>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</si>
  <si>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</si>
  <si>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</si>
  <si>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</si>
  <si>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</si>
  <si>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</si>
  <si>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</si>
  <si>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</si>
  <si>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</si>
  <si>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</si>
  <si>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</si>
  <si>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</si>
  <si>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</si>
  <si>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</si>
  <si>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</si>
  <si>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</si>
  <si>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</si>
  <si>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</si>
  <si>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</si>
  <si>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</si>
  <si>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</si>
  <si>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</si>
  <si>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</si>
  <si>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</si>
  <si>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</si>
  <si>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</si>
  <si>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</si>
  <si>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</si>
  <si>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</si>
  <si>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</si>
  <si>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</si>
  <si>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</si>
  <si>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</si>
  <si>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</si>
  <si>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</si>
  <si>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</si>
  <si>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</si>
  <si>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</si>
  <si>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</si>
  <si>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</si>
  <si>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</si>
  <si>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</si>
  <si>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</si>
  <si>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</si>
  <si>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</si>
  <si>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</si>
  <si>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</si>
  <si>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</si>
  <si>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</si>
  <si>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</si>
  <si>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</si>
  <si>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</si>
  <si>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</si>
  <si>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</si>
  <si>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</si>
  <si>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</si>
  <si>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</si>
  <si>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</si>
  <si>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</si>
  <si>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</si>
  <si>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</si>
  <si>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</si>
  <si>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</si>
  <si>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</si>
  <si>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</si>
  <si>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</si>
  <si>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</si>
  <si>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</si>
  <si>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</si>
  <si>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</si>
  <si>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</si>
  <si>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</si>
  <si>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</si>
  <si>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</si>
  <si>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</si>
  <si>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</si>
  <si>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</si>
  <si>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</si>
  <si>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</si>
  <si>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</si>
  <si>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</si>
  <si>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</si>
  <si>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</si>
  <si>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</si>
  <si>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</si>
  <si>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</si>
  <si>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</si>
  <si>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</si>
  <si>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</si>
  <si>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</si>
  <si>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</si>
  <si>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</si>
  <si>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</si>
  <si>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</si>
  <si>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</si>
  <si>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</si>
  <si>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</si>
  <si>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</si>
  <si>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</si>
  <si>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</si>
  <si>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</si>
  <si>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</si>
  <si>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</si>
  <si>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</si>
  <si>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</si>
  <si>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</si>
  <si>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</si>
  <si>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</si>
  <si>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</si>
  <si>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</si>
  <si>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</si>
  <si>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</si>
  <si>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</si>
  <si>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</si>
  <si>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</si>
  <si>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</si>
  <si>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</si>
  <si>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</si>
  <si>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</si>
  <si>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</si>
  <si>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</si>
  <si>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</si>
  <si>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</si>
  <si>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</si>
  <si>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</si>
  <si>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</si>
  <si>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</si>
  <si>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</si>
  <si>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</si>
  <si>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</si>
  <si>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</si>
  <si>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</si>
  <si>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</si>
  <si>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</si>
  <si>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</si>
  <si>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</si>
  <si>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</si>
  <si>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</si>
  <si>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</si>
  <si>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</si>
  <si>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</si>
  <si>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</si>
  <si>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</si>
  <si>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</si>
  <si>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</si>
  <si>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</si>
  <si>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</si>
  <si>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</si>
  <si>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</si>
  <si>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</si>
  <si>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</si>
  <si>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</si>
  <si>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</si>
  <si>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</si>
  <si>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</si>
  <si>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</si>
  <si>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</si>
  <si>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</si>
  <si>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</si>
  <si>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</si>
  <si>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</si>
  <si>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</si>
  <si>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</si>
  <si>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</si>
  <si>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</si>
  <si>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</si>
  <si>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</si>
  <si>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</si>
  <si>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</si>
  <si>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</si>
  <si>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</si>
  <si>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</si>
  <si>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</si>
  <si>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</si>
  <si>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</si>
  <si>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</si>
  <si>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</si>
  <si>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</si>
  <si>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</si>
  <si>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</si>
  <si>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</si>
  <si>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</si>
  <si>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</si>
  <si>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</si>
  <si>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</si>
  <si>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</si>
  <si>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</si>
  <si>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</si>
  <si>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</si>
  <si>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</si>
  <si>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</si>
  <si>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</si>
  <si>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</si>
  <si>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Analysis - Formula Workings (Data Intelligence Dashboard)</t>
  </si>
  <si>
    <t>1. Date &amp; Time Functions, Timestamp and Filter Selectors</t>
  </si>
  <si>
    <t>Filter: Region</t>
  </si>
  <si>
    <t>All</t>
  </si>
  <si>
    <t>Filter: Category</t>
  </si>
  <si>
    <t>Today (TODAY)</t>
  </si>
  <si>
    <t>Timestamp (NOW + iterative calc)</t>
  </si>
  <si>
    <t>Now (NOW)</t>
  </si>
  <si>
    <t>First transaction date</t>
  </si>
  <si>
    <t>Entry:</t>
  </si>
  <si>
    <t>Sample entry</t>
  </si>
  <si>
    <t>Last transaction date</t>
  </si>
  <si>
    <t>Timestamp:</t>
  </si>
  <si>
    <t>Data span (DATEDIF, months)</t>
  </si>
  <si>
    <t>End of last month (EOMONTH)</t>
  </si>
  <si>
    <t>End of next month (EOMONTH +1)</t>
  </si>
  <si>
    <t>Days since last sale (DATEDIF)</t>
  </si>
  <si>
    <t>2. Summary KPIs</t>
  </si>
  <si>
    <t>Total Revenue</t>
  </si>
  <si>
    <t>Total Transactions</t>
  </si>
  <si>
    <t>Average Order Value</t>
  </si>
  <si>
    <t>Units Sold</t>
  </si>
  <si>
    <t>Unique Customers</t>
  </si>
  <si>
    <t>Filtered Revenue (Region/Category selection)</t>
  </si>
  <si>
    <t>Filtered Transactions</t>
  </si>
  <si>
    <t>3. Regional Sales (Pivot-style)</t>
  </si>
  <si>
    <t>Revenue</t>
  </si>
  <si>
    <t>Transactions</t>
  </si>
  <si>
    <t>Units</t>
  </si>
  <si>
    <t>Avg Order</t>
  </si>
  <si>
    <t>% of Revenue</t>
  </si>
  <si>
    <t>Rank</t>
  </si>
  <si>
    <t>Total</t>
  </si>
  <si>
    <t>4. Category Sales</t>
  </si>
  <si>
    <t>5. Product Sales (Most Sold Products)</t>
  </si>
  <si>
    <t>Product</t>
  </si>
  <si>
    <t>6. Payment Method</t>
  </si>
  <si>
    <t>Payment Method</t>
  </si>
  <si>
    <t>7. Customer Segment</t>
  </si>
  <si>
    <t>Segment</t>
  </si>
  <si>
    <t>8. Monthly Revenue Trend (EOMONTH)</t>
  </si>
  <si>
    <t>Month Start</t>
  </si>
  <si>
    <t>Month End (EOMONTH)</t>
  </si>
  <si>
    <t>MoM Growth %</t>
  </si>
  <si>
    <t>Trend</t>
  </si>
  <si>
    <t>9. Customer GroupBy - High-Value Customers (formulas) + Abbreviations (TEXT functions)</t>
  </si>
  <si>
    <t>Customer Name</t>
  </si>
  <si>
    <t>Orders</t>
  </si>
  <si>
    <t>Tier</t>
  </si>
  <si>
    <t>Repeat?</t>
  </si>
  <si>
    <t>Initials</t>
  </si>
  <si>
    <t>Short Code</t>
  </si>
  <si>
    <t>Bought Electronics</t>
  </si>
  <si>
    <t>Bought Furniture</t>
  </si>
  <si>
    <t>Match (both)</t>
  </si>
  <si>
    <t>Rank Key</t>
  </si>
  <si>
    <t>10. Top 10 Customers (formula based)</t>
  </si>
  <si>
    <t>Customer</t>
  </si>
  <si>
    <t>Share of Revenue</t>
  </si>
  <si>
    <t>11. Most Frequent Product, Repeating Customers &amp; List Match</t>
  </si>
  <si>
    <t>Most frequently purchased product</t>
  </si>
  <si>
    <t xml:space="preserve">  - number of transactions</t>
  </si>
  <si>
    <t>Highest revenue product</t>
  </si>
  <si>
    <t>Customers who purchased more than once</t>
  </si>
  <si>
    <t>Repeat customer rate</t>
  </si>
  <si>
    <t>Most frequent buyer (most orders)</t>
  </si>
  <si>
    <t>Customers who bought BOTH Electronics &amp; Furniture</t>
  </si>
  <si>
    <t>12. FILTER-style Multi-value Return (uses dropdowns C5 / C6)</t>
  </si>
  <si>
    <t>#</t>
  </si>
  <si>
    <t>Qty</t>
  </si>
  <si>
    <t>Amount</t>
  </si>
  <si>
    <t>What-If Analysis and Linear Regression</t>
  </si>
  <si>
    <t>A. Scenario Manager (scenario table - choose scenario in C5)</t>
  </si>
  <si>
    <t>Active scenario (1-3)</t>
  </si>
  <si>
    <t>Input</t>
  </si>
  <si>
    <t>Pessimistic (1)</t>
  </si>
  <si>
    <t>Base (2)</t>
  </si>
  <si>
    <t>Optimistic (3)</t>
  </si>
  <si>
    <t>ACTIVE</t>
  </si>
  <si>
    <t>Sales volume change %</t>
  </si>
  <si>
    <t>Price change %</t>
  </si>
  <si>
    <t>Cost of goods (% of revenue)</t>
  </si>
  <si>
    <t>Operating expenses ($)</t>
  </si>
  <si>
    <t>Current Revenue (from data)</t>
  </si>
  <si>
    <t>Projected Revenue</t>
  </si>
  <si>
    <t>Cost of goods</t>
  </si>
  <si>
    <t>Operating expenses</t>
  </si>
  <si>
    <t>Projected Profit</t>
  </si>
  <si>
    <t>Profit margin</t>
  </si>
  <si>
    <t>Scenario</t>
  </si>
  <si>
    <t>Profit</t>
  </si>
  <si>
    <t>Pessimistic</t>
  </si>
  <si>
    <t>Base</t>
  </si>
  <si>
    <t>Optimistic</t>
  </si>
  <si>
    <t>B. Goal Seek (solved with a formula - result is exact)</t>
  </si>
  <si>
    <t>Target total revenue ($)</t>
  </si>
  <si>
    <t>Current total revenue</t>
  </si>
  <si>
    <t>Required increase in sales volume</t>
  </si>
  <si>
    <t>Required price (avg order) if volume fixed</t>
  </si>
  <si>
    <t>Check: revenue after change</t>
  </si>
  <si>
    <t>C. Linear Regression: Monthly Revenue vs Month number (SLOPE / INTERCEPT / RSQ / LINEST)</t>
  </si>
  <si>
    <t>Month #</t>
  </si>
  <si>
    <t>Month</t>
  </si>
  <si>
    <t>Revenue (Y)</t>
  </si>
  <si>
    <t>Predicted</t>
  </si>
  <si>
    <t>Residual</t>
  </si>
  <si>
    <t>Slope (revenue change per month)</t>
  </si>
  <si>
    <t>Intercept</t>
  </si>
  <si>
    <t>R-squared</t>
  </si>
  <si>
    <t>Std error of estimate</t>
  </si>
  <si>
    <t>Correlation (r)</t>
  </si>
  <si>
    <t>Forecast - Month 13</t>
  </si>
  <si>
    <t>Forecast - Month 14</t>
  </si>
  <si>
    <t>Visualizations - Additional Charts</t>
  </si>
  <si>
    <t>DATA INTELLIGENCE DASHBOARD</t>
  </si>
  <si>
    <t xml:space="preserve">  FILTERS  &gt;</t>
  </si>
  <si>
    <t>TOTAL REVENUE</t>
  </si>
  <si>
    <t>TRANSACTIONS</t>
  </si>
  <si>
    <t>AVG ORDER VALUE</t>
  </si>
  <si>
    <t>CUSTOMERS</t>
  </si>
  <si>
    <t>FILTERED REVENUE</t>
  </si>
  <si>
    <t>TOP REGION</t>
  </si>
  <si>
    <t>per transaction</t>
  </si>
  <si>
    <t>KPI INDICATORS (vs Target)</t>
  </si>
  <si>
    <t>TOP 5 CUSTOMERS</t>
  </si>
  <si>
    <t>KPI</t>
  </si>
  <si>
    <t>Actual</t>
  </si>
  <si>
    <t>Target</t>
  </si>
  <si>
    <t>% of Target</t>
  </si>
  <si>
    <t>Status</t>
  </si>
  <si>
    <t>Share</t>
  </si>
  <si>
    <t>Avg Order Value</t>
  </si>
  <si>
    <t>Repeat Customer Rate</t>
  </si>
  <si>
    <t>SALES ANALYSIS</t>
  </si>
  <si>
    <t>REGION x CATEGORY REVENUE (heatmap)</t>
  </si>
  <si>
    <t>KEY INSIGHTS</t>
  </si>
  <si>
    <t>Final Report - Insights &amp; Storytelling</t>
  </si>
  <si>
    <t>Topic</t>
  </si>
  <si>
    <t>Insight</t>
  </si>
  <si>
    <t>Top Customers</t>
  </si>
  <si>
    <t>Most Sold Products</t>
  </si>
  <si>
    <t>Regional Sales</t>
  </si>
  <si>
    <t>Category Mix</t>
  </si>
  <si>
    <t>Customer Loyalty</t>
  </si>
  <si>
    <t>Forecast</t>
  </si>
  <si>
    <t>Recommendation</t>
  </si>
  <si>
    <t>Focus marketing on High-Value customers, bundle Electronics with Furniture (cross-sell), and replicate best-region practices in the weakest region.</t>
  </si>
  <si>
    <t>total value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</si>
</sst>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-mmm\-yyyy"/>
    <numFmt numFmtId="165" formatCode="\$#,##0.00"/>
    <numFmt numFmtId="166" formatCode="mmm\-yyyy"/>
    <numFmt numFmtId="168" formatCode="\$#,##0"/>
    <numFmt numFmtId="169" formatCode="0.0%"/>
    <numFmt numFmtId="170" formatCode="0.0%;\-0.0%;0.0%"/>
    <numFmt numFmtId="171" formatCode="#,##0;\-#,##0;0"/>
    <numFmt numFmtId="172" formatCode="0.000000"/>
    <numFmt numFmtId="173" formatCode="\$#,##0;&quot;-$&quot;#,##0"/>
    <numFmt numFmtId="174" formatCode="0.000"/>
    <numFmt numFmtId="175" formatCode=";;;"/>
    <numFmt numFmtId="179" formatCode="[$-F400]h:mm:ss\ AM/PM"/>
  </numFmts>
  <fonts count="31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595959"/>
      <name val="Arial"/>
      <charset val="1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color rgb="FF0000FF"/>
      <name val="Arial"/>
      <charset val="1"/>
    </font>
    <font>
      <sz val="8"/>
      <color rgb="FF7F7F7F"/>
      <name val="Arial"/>
      <charset val="1"/>
    </font>
    <font>
      <b/>
      <sz val="26"/>
      <color rgb="FFFFFFFF"/>
      <name val="Arial"/>
      <charset val="1"/>
    </font>
    <font>
      <sz val="11"/>
      <color rgb="FFBDD7EE"/>
      <name val="Arial"/>
      <charset val="1"/>
    </font>
    <font>
      <i/>
      <sz val="10"/>
      <color rgb="FFBDD7EE"/>
      <name val="Arial"/>
      <charset val="1"/>
    </font>
    <font>
      <b/>
      <sz val="9"/>
      <color rgb="FF1F3864"/>
      <name val="Arial"/>
      <charset val="1"/>
    </font>
    <font>
      <b/>
      <sz val="10"/>
      <color rgb="FF2E75B6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22"/>
      <color rgb="FF2E75B6"/>
      <name val="Arial"/>
      <charset val="1"/>
    </font>
    <font>
      <b/>
      <sz val="22"/>
      <color rgb="FFED7D31"/>
      <name val="Arial"/>
      <charset val="1"/>
    </font>
    <font>
      <b/>
      <sz val="22"/>
      <color rgb="FF70AD47"/>
      <name val="Arial"/>
      <charset val="1"/>
    </font>
    <font>
      <b/>
      <sz val="22"/>
      <color rgb="FF7030A0"/>
      <name val="Arial"/>
      <charset val="1"/>
    </font>
    <font>
      <b/>
      <sz val="22"/>
      <color rgb="FFC00000"/>
      <name val="Arial"/>
      <charset val="1"/>
    </font>
    <font>
      <b/>
      <sz val="22"/>
      <color rgb="FF00B0A0"/>
      <name val="Arial"/>
      <charset val="1"/>
    </font>
    <font>
      <sz val="9"/>
      <color rgb="FF7F7F7F"/>
      <name val="Arial"/>
      <charset val="1"/>
    </font>
    <font>
      <b/>
      <sz val="10"/>
      <name val="Arial"/>
      <charset val="1"/>
    </font>
    <font>
      <b/>
      <sz val="11"/>
      <color rgb="FF2E75B6"/>
      <name val="Arial"/>
      <charset val="1"/>
    </font>
    <font>
      <sz val="10"/>
      <name val="Arial"/>
      <charset val="1"/>
    </font>
    <font>
      <i/>
      <sz val="8"/>
      <color rgb="FF7F7F7F"/>
      <name val="Arial"/>
      <charset val="1"/>
    </font>
    <font>
      <sz val="9"/>
      <name val="Arial"/>
      <charset val="1"/>
    </font>
    <font>
      <i/>
      <sz val="8"/>
      <color rgb="FFBDD7EE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8B8B8B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7F9F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333399"/>
      </patternFill>
    </fill>
    <fill>
      <patternFill patternType="solid">
        <fgColor rgb="FFC00000"/>
        <bgColor rgb="FF800000"/>
      </patternFill>
    </fill>
    <fill>
      <patternFill patternType="solid">
        <fgColor rgb="FF00B0A0"/>
        <bgColor rgb="FF33CCCC"/>
      </patternFill>
    </fill>
    <fill>
      <patternFill patternType="solid">
        <fgColor rgb="FFFFFFFF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7F9FC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9">
    <xf numFmtId="0" fontId="0" fillId="0" borderId="0" xfId="0"/>
    <xf numFmtId="168" fontId="20" fillId="12" borderId="2" xfId="0" applyNumberFormat="1" applyFont="1" applyFill="1" applyBorder="1" applyAlignment="1">
      <alignment horizontal="center" vertical="center"/>
    </xf>
    <xf numFmtId="3" fontId="19" fillId="12" borderId="2" xfId="0" applyNumberFormat="1" applyFont="1" applyFill="1" applyBorder="1" applyAlignment="1">
      <alignment horizontal="center" vertical="center"/>
    </xf>
    <xf numFmtId="168" fontId="18" fillId="12" borderId="2" xfId="0" applyNumberFormat="1" applyFont="1" applyFill="1" applyBorder="1" applyAlignment="1">
      <alignment horizontal="center" vertical="center"/>
    </xf>
    <xf numFmtId="0" fontId="17" fillId="11" borderId="0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7" fillId="9" borderId="0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0" fontId="16" fillId="6" borderId="0" xfId="0" applyFont="1" applyFill="1" applyBorder="1"/>
    <xf numFmtId="0" fontId="15" fillId="6" borderId="0" xfId="0" applyFont="1" applyFill="1" applyBorder="1"/>
    <xf numFmtId="0" fontId="13" fillId="3" borderId="0" xfId="0" applyFont="1" applyFill="1" applyBorder="1" applyAlignment="1">
      <alignment horizontal="left" indent="1"/>
    </xf>
    <xf numFmtId="0" fontId="12" fillId="3" borderId="0" xfId="0" applyFont="1" applyFill="1" applyBorder="1" applyAlignment="1">
      <alignment horizontal="righ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5" borderId="0" xfId="0" applyFont="1" applyFill="1"/>
    <xf numFmtId="0" fontId="0" fillId="5" borderId="0" xfId="0" applyFill="1"/>
    <xf numFmtId="0" fontId="7" fillId="0" borderId="0" xfId="0" applyFont="1"/>
    <xf numFmtId="0" fontId="8" fillId="2" borderId="1" xfId="0" applyFont="1" applyFill="1" applyBorder="1"/>
    <xf numFmtId="0" fontId="2" fillId="0" borderId="0" xfId="0" applyFont="1"/>
    <xf numFmtId="164" fontId="7" fillId="0" borderId="1" xfId="0" applyNumberFormat="1" applyFont="1" applyBorder="1" applyAlignment="1">
      <alignment horizontal="center"/>
    </xf>
    <xf numFmtId="0" fontId="9" fillId="2" borderId="1" xfId="0" applyFont="1" applyFill="1" applyBorder="1"/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0" fontId="9" fillId="0" borderId="1" xfId="0" applyFont="1" applyBorder="1"/>
    <xf numFmtId="168" fontId="2" fillId="0" borderId="1" xfId="0" applyNumberFormat="1" applyFont="1" applyBorder="1"/>
    <xf numFmtId="3" fontId="2" fillId="0" borderId="1" xfId="0" applyNumberFormat="1" applyFont="1" applyBorder="1"/>
    <xf numFmtId="169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168" fontId="7" fillId="0" borderId="1" xfId="0" applyNumberFormat="1" applyFont="1" applyBorder="1"/>
    <xf numFmtId="3" fontId="7" fillId="0" borderId="1" xfId="0" applyNumberFormat="1" applyFont="1" applyBorder="1"/>
    <xf numFmtId="169" fontId="7" fillId="0" borderId="1" xfId="0" applyNumberFormat="1" applyFont="1" applyBorder="1"/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70" fontId="2" fillId="0" borderId="1" xfId="0" applyNumberFormat="1" applyFont="1" applyBorder="1"/>
    <xf numFmtId="17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2" fontId="10" fillId="0" borderId="0" xfId="0" applyNumberFormat="1" applyFont="1"/>
    <xf numFmtId="0" fontId="7" fillId="0" borderId="1" xfId="0" applyFont="1" applyBorder="1" applyAlignment="1">
      <alignment horizontal="right"/>
    </xf>
    <xf numFmtId="169" fontId="7" fillId="0" borderId="1" xfId="0" applyNumberFormat="1" applyFont="1" applyBorder="1" applyAlignment="1">
      <alignment horizontal="right"/>
    </xf>
    <xf numFmtId="1" fontId="2" fillId="0" borderId="1" xfId="0" applyNumberFormat="1" applyFont="1" applyBorder="1"/>
    <xf numFmtId="9" fontId="9" fillId="0" borderId="1" xfId="0" applyNumberFormat="1" applyFont="1" applyBorder="1"/>
    <xf numFmtId="9" fontId="7" fillId="0" borderId="1" xfId="0" applyNumberFormat="1" applyFont="1" applyBorder="1"/>
    <xf numFmtId="168" fontId="9" fillId="0" borderId="1" xfId="0" applyNumberFormat="1" applyFont="1" applyBorder="1"/>
    <xf numFmtId="168" fontId="9" fillId="2" borderId="1" xfId="0" applyNumberFormat="1" applyFont="1" applyFill="1" applyBorder="1"/>
    <xf numFmtId="165" fontId="7" fillId="0" borderId="1" xfId="0" applyNumberFormat="1" applyFont="1" applyBorder="1"/>
    <xf numFmtId="173" fontId="2" fillId="0" borderId="1" xfId="0" applyNumberFormat="1" applyFont="1" applyBorder="1"/>
    <xf numFmtId="174" fontId="7" fillId="0" borderId="1" xfId="0" applyNumberFormat="1" applyFont="1" applyBorder="1"/>
    <xf numFmtId="0" fontId="14" fillId="6" borderId="0" xfId="0" applyFont="1" applyFill="1"/>
    <xf numFmtId="0" fontId="0" fillId="6" borderId="0" xfId="0" applyFill="1"/>
    <xf numFmtId="0" fontId="14" fillId="13" borderId="0" xfId="0" applyFont="1" applyFill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14" borderId="4" xfId="0" applyFont="1" applyFill="1" applyBorder="1" applyAlignment="1">
      <alignment horizontal="center"/>
    </xf>
    <xf numFmtId="0" fontId="7" fillId="1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" fontId="21" fillId="12" borderId="2" xfId="0" applyNumberFormat="1" applyFont="1" applyFill="1" applyBorder="1" applyAlignment="1">
      <alignment horizontal="center" vertical="center"/>
    </xf>
    <xf numFmtId="168" fontId="22" fillId="12" borderId="2" xfId="0" applyNumberFormat="1" applyFont="1" applyFill="1" applyBorder="1" applyAlignment="1">
      <alignment horizontal="center" vertical="center"/>
    </xf>
    <xf numFmtId="49" fontId="23" fillId="12" borderId="2" xfId="0" applyNumberFormat="1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indent="1"/>
    </xf>
    <xf numFmtId="0" fontId="14" fillId="13" borderId="0" xfId="0" applyFont="1" applyFill="1" applyBorder="1" applyAlignment="1">
      <alignment horizontal="center"/>
    </xf>
    <xf numFmtId="0" fontId="25" fillId="0" borderId="4" xfId="0" applyFont="1" applyBorder="1"/>
    <xf numFmtId="168" fontId="7" fillId="0" borderId="4" xfId="0" applyNumberFormat="1" applyFont="1" applyBorder="1" applyAlignment="1">
      <alignment horizontal="center"/>
    </xf>
    <xf numFmtId="168" fontId="9" fillId="0" borderId="4" xfId="0" applyNumberFormat="1" applyFont="1" applyBorder="1" applyAlignment="1">
      <alignment horizontal="center"/>
    </xf>
    <xf numFmtId="9" fontId="7" fillId="0" borderId="4" xfId="0" applyNumberFormat="1" applyFont="1" applyBorder="1" applyAlignment="1">
      <alignment horizontal="center"/>
    </xf>
    <xf numFmtId="175" fontId="0" fillId="0" borderId="4" xfId="0" applyNumberFormat="1" applyBorder="1" applyAlignment="1">
      <alignment horizontal="center"/>
    </xf>
    <xf numFmtId="0" fontId="27" fillId="0" borderId="4" xfId="0" applyFont="1" applyBorder="1"/>
    <xf numFmtId="169" fontId="2" fillId="0" borderId="4" xfId="0" applyNumberFormat="1" applyFont="1" applyBorder="1" applyAlignment="1">
      <alignment horizontal="center"/>
    </xf>
    <xf numFmtId="0" fontId="25" fillId="14" borderId="4" xfId="0" applyFont="1" applyFill="1" applyBorder="1"/>
    <xf numFmtId="168" fontId="7" fillId="14" borderId="4" xfId="0" applyNumberFormat="1" applyFont="1" applyFill="1" applyBorder="1" applyAlignment="1">
      <alignment horizontal="center"/>
    </xf>
    <xf numFmtId="168" fontId="9" fillId="14" borderId="4" xfId="0" applyNumberFormat="1" applyFont="1" applyFill="1" applyBorder="1" applyAlignment="1">
      <alignment horizontal="center"/>
    </xf>
    <xf numFmtId="9" fontId="7" fillId="14" borderId="4" xfId="0" applyNumberFormat="1" applyFont="1" applyFill="1" applyBorder="1" applyAlignment="1">
      <alignment horizontal="center"/>
    </xf>
    <xf numFmtId="175" fontId="0" fillId="14" borderId="4" xfId="0" applyNumberFormat="1" applyFill="1" applyBorder="1" applyAlignment="1">
      <alignment horizontal="center"/>
    </xf>
    <xf numFmtId="0" fontId="27" fillId="14" borderId="4" xfId="0" applyFont="1" applyFill="1" applyBorder="1"/>
    <xf numFmtId="169" fontId="2" fillId="14" borderId="4" xfId="0" applyNumberFormat="1" applyFont="1" applyFill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3" fontId="7" fillId="14" borderId="4" xfId="0" applyNumberFormat="1" applyFont="1" applyFill="1" applyBorder="1" applyAlignment="1">
      <alignment horizontal="center"/>
    </xf>
    <xf numFmtId="3" fontId="9" fillId="14" borderId="4" xfId="0" applyNumberFormat="1" applyFont="1" applyFill="1" applyBorder="1" applyAlignment="1">
      <alignment horizontal="center"/>
    </xf>
    <xf numFmtId="0" fontId="28" fillId="0" borderId="0" xfId="0" applyFont="1" applyBorder="1"/>
    <xf numFmtId="0" fontId="29" fillId="0" borderId="4" xfId="0" applyFont="1" applyBorder="1" applyAlignment="1">
      <alignment vertical="center" wrapText="1" indent="1"/>
    </xf>
    <xf numFmtId="0" fontId="7" fillId="0" borderId="1" xfId="0" applyFont="1" applyBorder="1"/>
    <xf numFmtId="168" fontId="2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0" fontId="29" fillId="0" borderId="0" xfId="0" applyFont="1" applyBorder="1" applyAlignment="1">
      <alignment vertical="center" wrapText="1" indent="1"/>
    </xf>
    <xf numFmtId="0" fontId="30" fillId="3" borderId="0" xfId="0" applyFont="1" applyFill="1" applyBorder="1" applyAlignment="1">
      <alignment indent="1"/>
    </xf>
    <xf numFmtId="17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ont>
        <b/>
        <color rgb="FFC00000"/>
        <name val="Arial"/>
        <charset val="1"/>
      </font>
    </dxf>
    <dxf>
      <font>
        <b/>
        <color rgb="FF00803C"/>
        <name val="Arial"/>
        <charset val="1"/>
      </font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3C"/>
      <rgbColor rgb="FF000080"/>
      <rgbColor rgb="FF70AD47"/>
      <rgbColor rgb="FF800080"/>
      <rgbColor rgb="FF008080"/>
      <rgbColor rgb="FFBFBFBF"/>
      <rgbColor rgb="FF7F7F7F"/>
      <rgbColor rgb="FFA6A6A6"/>
      <rgbColor rgb="FF7030A0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C6EFCE"/>
      <rgbColor rgb="FFF7F9FC"/>
      <rgbColor rgb="FF99CCFF"/>
      <rgbColor rgb="FFFF99CC"/>
      <rgbColor rgb="FFCC99FF"/>
      <rgbColor rgb="FFD9D9D9"/>
      <rgbColor rgb="FF2E75B6"/>
      <rgbColor rgb="FF33CCCC"/>
      <rgbColor rgb="FF9BBB59"/>
      <rgbColor rgb="FFFFC000"/>
      <rgbColor rgb="FFFF9900"/>
      <rgbColor rgb="FFED7D31"/>
      <rgbColor rgb="FF595959"/>
      <rgbColor rgb="FF8B8B8B"/>
      <rgbColor rgb="FF1F3864"/>
      <rgbColor rgb="FF4F81BD"/>
      <rgbColor rgb="FF0061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Revenue with Linear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'What-If &amp; Regression'!$C$37</c:f>
              <c:strCache>
                <c:ptCount val="1"/>
                <c:pt idx="0">
                  <c:v>Revenue (Y)</c:v>
                </c:pt>
              </c:strCache>
            </c:strRef>
          </c:tx>
          <c:spPr>
            <a:ln w="3168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'What-If &amp; Regression'!$A$38:$A$49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'What-If &amp; Regression'!$C$38:$C$49</c:f>
              <c:numCache>
                <c:formatCode>\$#,##0</c:formatCode>
                <c:ptCount val="12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55-45F9-ABDF-2034FDA92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71313"/>
        <c:axId val="55608222"/>
      </c:scatterChart>
      <c:valAx>
        <c:axId val="32171313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Month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5608222"/>
        <c:crosses val="autoZero"/>
        <c:crossBetween val="midCat"/>
      </c:valAx>
      <c:valAx>
        <c:axId val="5560822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217131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Payment Method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Analysis!$A$60:$A$63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Analysis!$B$60:$B$63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5-4118-8EF9-F9A0EAD6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81184"/>
        <c:axId val="73744131"/>
      </c:barChart>
      <c:catAx>
        <c:axId val="758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3744131"/>
        <c:crosses val="autoZero"/>
        <c:auto val="1"/>
        <c:lblAlgn val="ctr"/>
        <c:lblOffset val="100"/>
        <c:noMultiLvlLbl val="0"/>
      </c:catAx>
      <c:valAx>
        <c:axId val="7374413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5881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Customer Segment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Analysis!$B$66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73-42DB-884F-E41F4D57976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773-42DB-884F-E41F4D57976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773-42DB-884F-E41F4D57976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773-42DB-884F-E41F4D57976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773-42DB-884F-E41F4D57976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773-42DB-884F-E41F4D5797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Analysis!$A$67:$A$69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Analysis!$B$67:$B$69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73-42DB-884F-E41F4D57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10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Analysis!$C$144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Analysis!$B$145:$B$154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Analysis!$C$145:$C$154</c:f>
              <c:numCache>
                <c:formatCode>\$#,##0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5-49FA-8C56-26F2F2213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45551"/>
        <c:axId val="62249436"/>
      </c:barChart>
      <c:catAx>
        <c:axId val="98845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2249436"/>
        <c:crosses val="autoZero"/>
        <c:auto val="1"/>
        <c:lblAlgn val="ctr"/>
        <c:lblOffset val="100"/>
        <c:noMultiLvlLbl val="0"/>
      </c:catAx>
      <c:valAx>
        <c:axId val="62249436"/>
        <c:scaling>
          <c:orientation val="minMax"/>
        </c:scaling>
        <c:delete val="0"/>
        <c:axPos val="t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88455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Transactions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Analysis!$D$73</c:f>
              <c:strCache>
                <c:ptCount val="1"/>
                <c:pt idx="0">
                  <c:v>Transactions</c:v>
                </c:pt>
              </c:strCache>
            </c:strRef>
          </c:tx>
          <c:spPr>
            <a:ln w="3168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Analysis!$A$74:$A$86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Analysis!$D$74:$D$86</c:f>
              <c:numCache>
                <c:formatCode>#,##0</c:formatCode>
                <c:ptCount val="13"/>
                <c:pt idx="0">
                  <c:v>21</c:v>
                </c:pt>
                <c:pt idx="1">
                  <c:v>19</c:v>
                </c:pt>
                <c:pt idx="2">
                  <c:v>19</c:v>
                </c:pt>
                <c:pt idx="3">
                  <c:v>24</c:v>
                </c:pt>
                <c:pt idx="4">
                  <c:v>18</c:v>
                </c:pt>
                <c:pt idx="5">
                  <c:v>19</c:v>
                </c:pt>
                <c:pt idx="6">
                  <c:v>16</c:v>
                </c:pt>
                <c:pt idx="7">
                  <c:v>17</c:v>
                </c:pt>
                <c:pt idx="8">
                  <c:v>25</c:v>
                </c:pt>
                <c:pt idx="9">
                  <c:v>26</c:v>
                </c:pt>
                <c:pt idx="10">
                  <c:v>20</c:v>
                </c:pt>
                <c:pt idx="11">
                  <c:v>19</c:v>
                </c:pt>
                <c:pt idx="12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44-4E70-BC9A-97632531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978832"/>
        <c:axId val="37881608"/>
      </c:lineChart>
      <c:dateAx>
        <c:axId val="259788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7881608"/>
        <c:crosses val="autoZero"/>
        <c:auto val="1"/>
        <c:lblOffset val="100"/>
        <c:baseTimeUnit val="months"/>
      </c:dateAx>
      <c:valAx>
        <c:axId val="378816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59788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Analysis!$B$28:$B$32</c:f>
              <c:numCache>
                <c:formatCode>\$#,##0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E-46FC-8E06-449761090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48379"/>
        <c:axId val="66783819"/>
      </c:barChart>
      <c:catAx>
        <c:axId val="6348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6783819"/>
        <c:crosses val="autoZero"/>
        <c:auto val="1"/>
        <c:lblAlgn val="ctr"/>
        <c:lblOffset val="100"/>
        <c:noMultiLvlLbl val="0"/>
      </c:catAx>
      <c:valAx>
        <c:axId val="66783819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3483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Analysis!$C$73</c:f>
              <c:strCache>
                <c:ptCount val="1"/>
                <c:pt idx="0">
                  <c:v>Revenue</c:v>
                </c:pt>
              </c:strCache>
            </c:strRef>
          </c:tx>
          <c:spPr>
            <a:ln w="298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Analysis!$A$74:$A$86</c:f>
              <c:numCache>
                <c:formatCode>mmm\-yyyy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Analysis!$C$74:$C$86</c:f>
              <c:numCache>
                <c:formatCode>\$#,##0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D-475E-990A-A997DFEC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6538525"/>
        <c:axId val="35399485"/>
      </c:lineChart>
      <c:dateAx>
        <c:axId val="4653852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399485"/>
        <c:crosses val="autoZero"/>
        <c:auto val="1"/>
        <c:lblOffset val="100"/>
        <c:baseTimeUnit val="months"/>
      </c:dateAx>
      <c:valAx>
        <c:axId val="353994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6538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Analysis!$B$36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86C-41AD-BD6D-61719341429C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86C-41AD-BD6D-61719341429C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86C-41AD-BD6D-61719341429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86C-41AD-BD6D-61719341429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86C-41AD-BD6D-61719341429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86C-41AD-BD6D-617193414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Analysis!$A$37:$A$39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Analysis!$B$37:$B$39</c:f>
              <c:numCache>
                <c:formatCode>\$#,##0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6C-41AD-BD6D-617193414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AD47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Analysis!$A$45:$A$54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Bookshelf</c:v>
                </c:pt>
                <c:pt idx="5">
                  <c:v>Office Chair</c:v>
                </c:pt>
                <c:pt idx="6">
                  <c:v>Keyboard</c:v>
                </c:pt>
                <c:pt idx="7">
                  <c:v>Headphones</c:v>
                </c:pt>
                <c:pt idx="8">
                  <c:v>Blender</c:v>
                </c:pt>
                <c:pt idx="9">
                  <c:v>Coffee Maker</c:v>
                </c:pt>
              </c:strCache>
            </c:strRef>
          </c:cat>
          <c:val>
            <c:numRef>
              <c:f>Analysis!$B$45:$B$54</c:f>
              <c:numCache>
                <c:formatCode>\$#,##0</c:formatCode>
                <c:ptCount val="10"/>
                <c:pt idx="0">
                  <c:v>67499.25</c:v>
                </c:pt>
                <c:pt idx="1">
                  <c:v>67199.039999999994</c:v>
                </c:pt>
                <c:pt idx="2">
                  <c:v>23399.22</c:v>
                </c:pt>
                <c:pt idx="3">
                  <c:v>21999.119999999999</c:v>
                </c:pt>
                <c:pt idx="4">
                  <c:v>15298.979999999994</c:v>
                </c:pt>
                <c:pt idx="5">
                  <c:v>10399.479999999998</c:v>
                </c:pt>
                <c:pt idx="6">
                  <c:v>8009.1099999999969</c:v>
                </c:pt>
                <c:pt idx="7">
                  <c:v>7049.5299999999988</c:v>
                </c:pt>
                <c:pt idx="8">
                  <c:v>5219.1299999999974</c:v>
                </c:pt>
                <c:pt idx="9">
                  <c:v>3119.6099999999992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6-4F63-930D-ABB2FE7E3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5844370"/>
        <c:axId val="60145870"/>
      </c:barChart>
      <c:catAx>
        <c:axId val="3584437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0145870"/>
        <c:crosses val="autoZero"/>
        <c:auto val="1"/>
        <c:lblAlgn val="ctr"/>
        <c:lblOffset val="100"/>
        <c:noMultiLvlLbl val="0"/>
      </c:catAx>
      <c:valAx>
        <c:axId val="60145870"/>
        <c:scaling>
          <c:orientation val="minMax"/>
          <c:min val="0"/>
        </c:scaling>
        <c:delete val="0"/>
        <c:axPos val="t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58443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Analysis!$B$59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030A0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Analysis!$A$60:$A$63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Analysis!$B$60:$B$63</c:f>
              <c:numCache>
                <c:formatCode>\$#,##0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0-4F4B-9E73-A226306A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41862"/>
        <c:axId val="84451330"/>
      </c:barChart>
      <c:catAx>
        <c:axId val="1841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4451330"/>
        <c:crosses val="autoZero"/>
        <c:auto val="1"/>
        <c:lblAlgn val="ctr"/>
        <c:lblOffset val="100"/>
        <c:noMultiLvlLbl val="0"/>
      </c:catAx>
      <c:valAx>
        <c:axId val="84451330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418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Analysis!$B$66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648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931-4D20-870F-77D23DC8D92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931-4D20-870F-77D23DC8D92E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64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931-4D20-870F-77D23DC8D92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931-4D20-870F-77D23DC8D92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931-4D20-870F-77D23DC8D92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931-4D20-870F-77D23DC8D9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Analysis!$A$67:$A$69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Analysis!$B$67:$B$69</c:f>
              <c:numCache>
                <c:formatCode>\$#,##0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31-4D20-870F-77D23DC8D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36</xdr:row>
      <xdr:rowOff>3680</xdr:rowOff>
    </xdr:from>
    <xdr:to>
      <xdr:col>15</xdr:col>
      <xdr:colOff>21370</xdr:colOff>
      <xdr:row>51</xdr:row>
      <xdr:rowOff>38700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8</xdr:col>
      <xdr:colOff>147600</xdr:colOff>
      <xdr:row>15</xdr:row>
      <xdr:rowOff>163440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</xdr:row>
      <xdr:rowOff>130680</xdr:rowOff>
    </xdr:from>
    <xdr:to>
      <xdr:col>15</xdr:col>
      <xdr:colOff>39240</xdr:colOff>
      <xdr:row>15</xdr:row>
      <xdr:rowOff>163440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130680</xdr:rowOff>
    </xdr:from>
    <xdr:to>
      <xdr:col>8</xdr:col>
      <xdr:colOff>147600</xdr:colOff>
      <xdr:row>33</xdr:row>
      <xdr:rowOff>142560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17</xdr:row>
      <xdr:rowOff>130680</xdr:rowOff>
    </xdr:from>
    <xdr:to>
      <xdr:col>15</xdr:col>
      <xdr:colOff>39240</xdr:colOff>
      <xdr:row>33</xdr:row>
      <xdr:rowOff>142560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8</xdr:col>
      <xdr:colOff>32040</xdr:colOff>
      <xdr:row>33</xdr:row>
      <xdr:rowOff>151200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32040</xdr:colOff>
      <xdr:row>33</xdr:row>
      <xdr:rowOff>151200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32400</xdr:colOff>
      <xdr:row>33</xdr:row>
      <xdr:rowOff>151200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32040</xdr:colOff>
      <xdr:row>49</xdr:row>
      <xdr:rowOff>151200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16</xdr:col>
      <xdr:colOff>32040</xdr:colOff>
      <xdr:row>49</xdr:row>
      <xdr:rowOff>151200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36</xdr:row>
      <xdr:rowOff>0</xdr:rowOff>
    </xdr:from>
    <xdr:to>
      <xdr:col>24</xdr:col>
      <xdr:colOff>32400</xdr:colOff>
      <xdr:row>49</xdr:row>
      <xdr:rowOff>151200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Z1000"/>
  <sheetViews>
    <sheetView zoomScaleNormal="100" workbookViewId="0">
      <pane ySplit="1" topLeftCell="A2" activePane="bottomLeft" state="frozen"/>
      <selection pane="bottomLeft"/>
    </sheetView>
  </sheetViews>
  <sheetFormatPr defaultColWidth="14.453125" defaultRowHeight="14.5" x14ac:dyDescent="0.35"/>
  <cols>
    <col min="1" max="1" width="14" customWidth="1"/>
    <col min="2" max="2" width="13" customWidth="1"/>
    <col min="3" max="3" width="12" customWidth="1"/>
    <col min="4" max="4" width="19" customWidth="1"/>
    <col min="5" max="5" width="11" customWidth="1"/>
    <col min="6" max="6" width="15" customWidth="1"/>
    <col min="7" max="7" width="13" customWidth="1"/>
    <col min="8" max="8" width="9" customWidth="1"/>
    <col min="9" max="9" width="12" customWidth="1"/>
    <col min="10" max="10" width="15" customWidth="1"/>
    <col min="11" max="11" width="10" customWidth="1"/>
    <col min="12" max="12" width="16" customWidth="1"/>
    <col min="13" max="13" width="15" customWidth="1"/>
    <col min="14" max="14" width="13" customWidth="1"/>
    <col min="15" max="26" width="12" customWidth="1"/>
  </cols>
  <sheetData>
    <row r="1" spans="1:26" ht="30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6" t="s">
        <v>14</v>
      </c>
      <c r="P1" s="16" t="s">
        <v>15</v>
      </c>
      <c r="Q1" s="16" t="s">
        <v>16</v>
      </c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35">
      <c r="A2" s="17" t="s">
        <v>17</v>
      </c>
      <c r="B2" s="18">
        <v>45393</v>
      </c>
      <c r="C2" s="17" t="s">
        <v>18</v>
      </c>
      <c r="D2" s="17" t="s">
        <v>19</v>
      </c>
      <c r="E2" s="17" t="s">
        <v>20</v>
      </c>
      <c r="F2" s="17" t="s">
        <v>21</v>
      </c>
      <c r="G2" s="17" t="s">
        <v>22</v>
      </c>
      <c r="H2" s="17">
        <v>3</v>
      </c>
      <c r="I2" s="19">
        <v>249.99</v>
      </c>
      <c r="J2" s="17" t="s">
        <v>23</v>
      </c>
      <c r="K2" s="17" t="s">
        <v>24</v>
      </c>
      <c r="L2" s="17" t="s">
        <v>25</v>
      </c>
      <c r="M2" s="18">
        <v>44425</v>
      </c>
      <c r="N2" s="19">
        <v>749.97</v>
      </c>
      <c r="O2" s="20">
        <f t="shared" ref="O2:O65" si="0">DATE(YEAR(B2),MONTH(B2),1)</f>
        <v>45383</v>
      </c>
      <c r="P2" s="21">
        <f t="shared" ref="P2:P65" si="1">DATEDIF(M2,B2,"Y")</f>
        <v>2</v>
      </c>
      <c r="Q2" s="22">
        <f>IF(AND(OR(Analysis!$C$5="All",K2=Analysis!$C$5),OR(Analysis!$C$6="All",G2=Analysis!$C$6)),MAX(Q$1:Q1)+1,"")</f>
        <v>1</v>
      </c>
    </row>
    <row r="3" spans="1:26" x14ac:dyDescent="0.35">
      <c r="A3" s="17" t="s">
        <v>26</v>
      </c>
      <c r="B3" s="18">
        <v>45396</v>
      </c>
      <c r="C3" s="17" t="s">
        <v>27</v>
      </c>
      <c r="D3" s="17" t="s">
        <v>28</v>
      </c>
      <c r="E3" s="17" t="s">
        <v>20</v>
      </c>
      <c r="F3" s="17" t="s">
        <v>21</v>
      </c>
      <c r="G3" s="17" t="s">
        <v>22</v>
      </c>
      <c r="H3" s="17">
        <v>3</v>
      </c>
      <c r="I3" s="19">
        <v>249.99</v>
      </c>
      <c r="J3" s="17" t="s">
        <v>29</v>
      </c>
      <c r="K3" s="17" t="s">
        <v>24</v>
      </c>
      <c r="L3" s="17" t="s">
        <v>30</v>
      </c>
      <c r="M3" s="18">
        <v>44575</v>
      </c>
      <c r="N3" s="19">
        <v>749.97</v>
      </c>
      <c r="O3" s="20">
        <f t="shared" si="0"/>
        <v>45383</v>
      </c>
      <c r="P3" s="21">
        <f t="shared" si="1"/>
        <v>2</v>
      </c>
      <c r="Q3" s="22">
        <f>IF(AND(OR(Analysis!$C$5="All",K3=Analysis!$C$5),OR(Analysis!$C$6="All",G3=Analysis!$C$6)),MAX(Q$1:Q2)+1,"")</f>
        <v>2</v>
      </c>
    </row>
    <row r="4" spans="1:26" x14ac:dyDescent="0.35">
      <c r="A4" s="17" t="s">
        <v>31</v>
      </c>
      <c r="B4" s="18">
        <v>45399</v>
      </c>
      <c r="C4" s="17" t="s">
        <v>32</v>
      </c>
      <c r="D4" s="17" t="s">
        <v>33</v>
      </c>
      <c r="E4" s="17" t="s">
        <v>34</v>
      </c>
      <c r="F4" s="17" t="s">
        <v>35</v>
      </c>
      <c r="G4" s="17" t="s">
        <v>36</v>
      </c>
      <c r="H4" s="17">
        <v>3</v>
      </c>
      <c r="I4" s="19">
        <v>59.99</v>
      </c>
      <c r="J4" s="17" t="s">
        <v>37</v>
      </c>
      <c r="K4" s="17" t="s">
        <v>38</v>
      </c>
      <c r="L4" s="17" t="s">
        <v>39</v>
      </c>
      <c r="M4" s="18">
        <v>45262</v>
      </c>
      <c r="N4" s="19">
        <v>179.97</v>
      </c>
      <c r="O4" s="20">
        <f t="shared" si="0"/>
        <v>45383</v>
      </c>
      <c r="P4" s="21">
        <f t="shared" si="1"/>
        <v>0</v>
      </c>
      <c r="Q4" s="22">
        <f>IF(AND(OR(Analysis!$C$5="All",K4=Analysis!$C$5),OR(Analysis!$C$6="All",G4=Analysis!$C$6)),MAX(Q$1:Q3)+1,"")</f>
        <v>3</v>
      </c>
    </row>
    <row r="5" spans="1:26" x14ac:dyDescent="0.35">
      <c r="A5" s="17" t="s">
        <v>40</v>
      </c>
      <c r="B5" s="18">
        <v>45400</v>
      </c>
      <c r="C5" s="17" t="s">
        <v>41</v>
      </c>
      <c r="D5" s="17" t="s">
        <v>42</v>
      </c>
      <c r="E5" s="17" t="s">
        <v>34</v>
      </c>
      <c r="F5" s="17" t="s">
        <v>35</v>
      </c>
      <c r="G5" s="17" t="s">
        <v>36</v>
      </c>
      <c r="H5" s="17">
        <v>3</v>
      </c>
      <c r="I5" s="19">
        <v>59.99</v>
      </c>
      <c r="J5" s="17" t="s">
        <v>23</v>
      </c>
      <c r="K5" s="17" t="s">
        <v>43</v>
      </c>
      <c r="L5" s="17" t="s">
        <v>30</v>
      </c>
      <c r="M5" s="18">
        <v>45114</v>
      </c>
      <c r="N5" s="19">
        <v>179.97</v>
      </c>
      <c r="O5" s="20">
        <f t="shared" si="0"/>
        <v>45383</v>
      </c>
      <c r="P5" s="21">
        <f t="shared" si="1"/>
        <v>0</v>
      </c>
      <c r="Q5" s="22">
        <f>IF(AND(OR(Analysis!$C$5="All",K5=Analysis!$C$5),OR(Analysis!$C$6="All",G5=Analysis!$C$6)),MAX(Q$1:Q4)+1,"")</f>
        <v>4</v>
      </c>
    </row>
    <row r="6" spans="1:26" x14ac:dyDescent="0.35">
      <c r="A6" s="17" t="s">
        <v>44</v>
      </c>
      <c r="B6" s="18">
        <v>45400</v>
      </c>
      <c r="C6" s="17" t="s">
        <v>45</v>
      </c>
      <c r="D6" s="17" t="s">
        <v>46</v>
      </c>
      <c r="E6" s="17" t="s">
        <v>47</v>
      </c>
      <c r="F6" s="17" t="s">
        <v>48</v>
      </c>
      <c r="G6" s="17" t="s">
        <v>49</v>
      </c>
      <c r="H6" s="17">
        <v>5</v>
      </c>
      <c r="I6" s="19">
        <v>149.99</v>
      </c>
      <c r="J6" s="17" t="s">
        <v>29</v>
      </c>
      <c r="K6" s="17" t="s">
        <v>43</v>
      </c>
      <c r="L6" s="17" t="s">
        <v>30</v>
      </c>
      <c r="M6" s="18">
        <v>45295</v>
      </c>
      <c r="N6" s="19">
        <v>749.95</v>
      </c>
      <c r="O6" s="20">
        <f t="shared" si="0"/>
        <v>45383</v>
      </c>
      <c r="P6" s="21">
        <f t="shared" si="1"/>
        <v>0</v>
      </c>
      <c r="Q6" s="22">
        <f>IF(AND(OR(Analysis!$C$5="All",K6=Analysis!$C$5),OR(Analysis!$C$6="All",G6=Analysis!$C$6)),MAX(Q$1:Q5)+1,"")</f>
        <v>5</v>
      </c>
    </row>
    <row r="7" spans="1:26" x14ac:dyDescent="0.35">
      <c r="A7" s="17" t="s">
        <v>50</v>
      </c>
      <c r="B7" s="18">
        <v>45403</v>
      </c>
      <c r="C7" s="17" t="s">
        <v>51</v>
      </c>
      <c r="D7" s="17" t="s">
        <v>52</v>
      </c>
      <c r="E7" s="17" t="s">
        <v>34</v>
      </c>
      <c r="F7" s="17" t="s">
        <v>35</v>
      </c>
      <c r="G7" s="17" t="s">
        <v>36</v>
      </c>
      <c r="H7" s="17">
        <v>2</v>
      </c>
      <c r="I7" s="19">
        <v>59.99</v>
      </c>
      <c r="J7" s="17" t="s">
        <v>23</v>
      </c>
      <c r="K7" s="17" t="s">
        <v>53</v>
      </c>
      <c r="L7" s="17" t="s">
        <v>39</v>
      </c>
      <c r="M7" s="18">
        <v>44746</v>
      </c>
      <c r="N7" s="19">
        <v>119.98</v>
      </c>
      <c r="O7" s="20">
        <f t="shared" si="0"/>
        <v>45383</v>
      </c>
      <c r="P7" s="21">
        <f t="shared" si="1"/>
        <v>1</v>
      </c>
      <c r="Q7" s="22">
        <f>IF(AND(OR(Analysis!$C$5="All",K7=Analysis!$C$5),OR(Analysis!$C$6="All",G7=Analysis!$C$6)),MAX(Q$1:Q6)+1,"")</f>
        <v>6</v>
      </c>
    </row>
    <row r="8" spans="1:26" x14ac:dyDescent="0.35">
      <c r="A8" s="17" t="s">
        <v>54</v>
      </c>
      <c r="B8" s="18">
        <v>45403</v>
      </c>
      <c r="C8" s="17" t="s">
        <v>51</v>
      </c>
      <c r="D8" s="17" t="s">
        <v>52</v>
      </c>
      <c r="E8" s="17" t="s">
        <v>55</v>
      </c>
      <c r="F8" s="17" t="s">
        <v>56</v>
      </c>
      <c r="G8" s="17" t="s">
        <v>22</v>
      </c>
      <c r="H8" s="17">
        <v>5</v>
      </c>
      <c r="I8" s="19">
        <v>149.99</v>
      </c>
      <c r="J8" s="17" t="s">
        <v>29</v>
      </c>
      <c r="K8" s="17" t="s">
        <v>24</v>
      </c>
      <c r="L8" s="17" t="s">
        <v>39</v>
      </c>
      <c r="M8" s="18">
        <v>44418</v>
      </c>
      <c r="N8" s="19">
        <v>749.95</v>
      </c>
      <c r="O8" s="20">
        <f t="shared" si="0"/>
        <v>45383</v>
      </c>
      <c r="P8" s="21">
        <f t="shared" si="1"/>
        <v>2</v>
      </c>
      <c r="Q8" s="22">
        <f>IF(AND(OR(Analysis!$C$5="All",K8=Analysis!$C$5),OR(Analysis!$C$6="All",G8=Analysis!$C$6)),MAX(Q$1:Q7)+1,"")</f>
        <v>7</v>
      </c>
    </row>
    <row r="9" spans="1:26" x14ac:dyDescent="0.35">
      <c r="A9" s="17" t="s">
        <v>57</v>
      </c>
      <c r="B9" s="18">
        <v>45403</v>
      </c>
      <c r="C9" s="17" t="s">
        <v>58</v>
      </c>
      <c r="D9" s="17" t="s">
        <v>59</v>
      </c>
      <c r="E9" s="17" t="s">
        <v>34</v>
      </c>
      <c r="F9" s="17" t="s">
        <v>35</v>
      </c>
      <c r="G9" s="17" t="s">
        <v>36</v>
      </c>
      <c r="H9" s="17">
        <v>3</v>
      </c>
      <c r="I9" s="19">
        <v>59.99</v>
      </c>
      <c r="J9" s="17" t="s">
        <v>60</v>
      </c>
      <c r="K9" s="17" t="s">
        <v>38</v>
      </c>
      <c r="L9" s="17" t="s">
        <v>25</v>
      </c>
      <c r="M9" s="18">
        <v>45007</v>
      </c>
      <c r="N9" s="19">
        <v>179.97</v>
      </c>
      <c r="O9" s="20">
        <f t="shared" si="0"/>
        <v>45383</v>
      </c>
      <c r="P9" s="21">
        <f t="shared" si="1"/>
        <v>1</v>
      </c>
      <c r="Q9" s="22">
        <f>IF(AND(OR(Analysis!$C$5="All",K9=Analysis!$C$5),OR(Analysis!$C$6="All",G9=Analysis!$C$6)),MAX(Q$1:Q8)+1,"")</f>
        <v>8</v>
      </c>
    </row>
    <row r="10" spans="1:26" x14ac:dyDescent="0.35">
      <c r="A10" s="17" t="s">
        <v>61</v>
      </c>
      <c r="B10" s="18">
        <v>45405</v>
      </c>
      <c r="C10" s="17" t="s">
        <v>62</v>
      </c>
      <c r="D10" s="17" t="s">
        <v>63</v>
      </c>
      <c r="E10" s="17" t="s">
        <v>64</v>
      </c>
      <c r="F10" s="17" t="s">
        <v>65</v>
      </c>
      <c r="G10" s="17" t="s">
        <v>22</v>
      </c>
      <c r="H10" s="17">
        <v>3</v>
      </c>
      <c r="I10" s="19">
        <v>899.99</v>
      </c>
      <c r="J10" s="17" t="s">
        <v>37</v>
      </c>
      <c r="K10" s="17" t="s">
        <v>66</v>
      </c>
      <c r="L10" s="17" t="s">
        <v>39</v>
      </c>
      <c r="M10" s="18">
        <v>45299</v>
      </c>
      <c r="N10" s="19">
        <v>2699.97</v>
      </c>
      <c r="O10" s="20">
        <f t="shared" si="0"/>
        <v>45383</v>
      </c>
      <c r="P10" s="21">
        <f t="shared" si="1"/>
        <v>0</v>
      </c>
      <c r="Q10" s="22">
        <f>IF(AND(OR(Analysis!$C$5="All",K10=Analysis!$C$5),OR(Analysis!$C$6="All",G10=Analysis!$C$6)),MAX(Q$1:Q9)+1,"")</f>
        <v>9</v>
      </c>
    </row>
    <row r="11" spans="1:26" x14ac:dyDescent="0.35">
      <c r="A11" s="17" t="s">
        <v>67</v>
      </c>
      <c r="B11" s="18">
        <v>45408</v>
      </c>
      <c r="C11" s="17" t="s">
        <v>68</v>
      </c>
      <c r="D11" s="17" t="s">
        <v>69</v>
      </c>
      <c r="E11" s="17" t="s">
        <v>34</v>
      </c>
      <c r="F11" s="17" t="s">
        <v>35</v>
      </c>
      <c r="G11" s="17" t="s">
        <v>36</v>
      </c>
      <c r="H11" s="17">
        <v>3</v>
      </c>
      <c r="I11" s="19">
        <v>59.99</v>
      </c>
      <c r="J11" s="17" t="s">
        <v>23</v>
      </c>
      <c r="K11" s="17" t="s">
        <v>53</v>
      </c>
      <c r="L11" s="17" t="s">
        <v>30</v>
      </c>
      <c r="M11" s="18">
        <v>45207</v>
      </c>
      <c r="N11" s="19">
        <v>179.97</v>
      </c>
      <c r="O11" s="20">
        <f t="shared" si="0"/>
        <v>45383</v>
      </c>
      <c r="P11" s="21">
        <f t="shared" si="1"/>
        <v>0</v>
      </c>
      <c r="Q11" s="22">
        <f>IF(AND(OR(Analysis!$C$5="All",K11=Analysis!$C$5),OR(Analysis!$C$6="All",G11=Analysis!$C$6)),MAX(Q$1:Q10)+1,"")</f>
        <v>10</v>
      </c>
    </row>
    <row r="12" spans="1:26" x14ac:dyDescent="0.35">
      <c r="A12" s="17" t="s">
        <v>70</v>
      </c>
      <c r="B12" s="18">
        <v>45408</v>
      </c>
      <c r="C12" s="17" t="s">
        <v>71</v>
      </c>
      <c r="D12" s="17" t="s">
        <v>72</v>
      </c>
      <c r="E12" s="17" t="s">
        <v>47</v>
      </c>
      <c r="F12" s="17" t="s">
        <v>48</v>
      </c>
      <c r="G12" s="17" t="s">
        <v>49</v>
      </c>
      <c r="H12" s="17">
        <v>1</v>
      </c>
      <c r="I12" s="19">
        <v>149.99</v>
      </c>
      <c r="J12" s="17" t="s">
        <v>29</v>
      </c>
      <c r="K12" s="17" t="s">
        <v>53</v>
      </c>
      <c r="L12" s="17" t="s">
        <v>39</v>
      </c>
      <c r="M12" s="18">
        <v>45103</v>
      </c>
      <c r="N12" s="19">
        <v>149.99</v>
      </c>
      <c r="O12" s="20">
        <f t="shared" si="0"/>
        <v>45383</v>
      </c>
      <c r="P12" s="21">
        <f t="shared" si="1"/>
        <v>0</v>
      </c>
      <c r="Q12" s="22">
        <f>IF(AND(OR(Analysis!$C$5="All",K12=Analysis!$C$5),OR(Analysis!$C$6="All",G12=Analysis!$C$6)),MAX(Q$1:Q11)+1,"")</f>
        <v>11</v>
      </c>
    </row>
    <row r="13" spans="1:26" x14ac:dyDescent="0.35">
      <c r="A13" s="17" t="s">
        <v>73</v>
      </c>
      <c r="B13" s="18">
        <v>45408</v>
      </c>
      <c r="C13" s="17" t="s">
        <v>41</v>
      </c>
      <c r="D13" s="17" t="s">
        <v>42</v>
      </c>
      <c r="E13" s="17" t="s">
        <v>47</v>
      </c>
      <c r="F13" s="17" t="s">
        <v>48</v>
      </c>
      <c r="G13" s="17" t="s">
        <v>49</v>
      </c>
      <c r="H13" s="17">
        <v>5</v>
      </c>
      <c r="I13" s="19">
        <v>149.99</v>
      </c>
      <c r="J13" s="17" t="s">
        <v>60</v>
      </c>
      <c r="K13" s="17" t="s">
        <v>43</v>
      </c>
      <c r="L13" s="17" t="s">
        <v>25</v>
      </c>
      <c r="M13" s="18">
        <v>44830</v>
      </c>
      <c r="N13" s="19">
        <v>749.95</v>
      </c>
      <c r="O13" s="20">
        <f t="shared" si="0"/>
        <v>45383</v>
      </c>
      <c r="P13" s="21">
        <f t="shared" si="1"/>
        <v>1</v>
      </c>
      <c r="Q13" s="22">
        <f>IF(AND(OR(Analysis!$C$5="All",K13=Analysis!$C$5),OR(Analysis!$C$6="All",G13=Analysis!$C$6)),MAX(Q$1:Q12)+1,"")</f>
        <v>12</v>
      </c>
    </row>
    <row r="14" spans="1:26" x14ac:dyDescent="0.35">
      <c r="A14" s="17" t="s">
        <v>74</v>
      </c>
      <c r="B14" s="18">
        <v>45408</v>
      </c>
      <c r="C14" s="17" t="s">
        <v>75</v>
      </c>
      <c r="D14" s="17" t="s">
        <v>76</v>
      </c>
      <c r="E14" s="17" t="s">
        <v>47</v>
      </c>
      <c r="F14" s="17" t="s">
        <v>48</v>
      </c>
      <c r="G14" s="17" t="s">
        <v>49</v>
      </c>
      <c r="H14" s="17">
        <v>3</v>
      </c>
      <c r="I14" s="19">
        <v>149.99</v>
      </c>
      <c r="J14" s="17" t="s">
        <v>23</v>
      </c>
      <c r="K14" s="17" t="s">
        <v>43</v>
      </c>
      <c r="L14" s="17" t="s">
        <v>30</v>
      </c>
      <c r="M14" s="18">
        <v>44806</v>
      </c>
      <c r="N14" s="19">
        <v>449.97</v>
      </c>
      <c r="O14" s="20">
        <f t="shared" si="0"/>
        <v>45383</v>
      </c>
      <c r="P14" s="21">
        <f t="shared" si="1"/>
        <v>1</v>
      </c>
      <c r="Q14" s="22">
        <f>IF(AND(OR(Analysis!$C$5="All",K14=Analysis!$C$5),OR(Analysis!$C$6="All",G14=Analysis!$C$6)),MAX(Q$1:Q13)+1,"")</f>
        <v>13</v>
      </c>
    </row>
    <row r="15" spans="1:26" x14ac:dyDescent="0.35">
      <c r="A15" s="17" t="s">
        <v>77</v>
      </c>
      <c r="B15" s="18">
        <v>45409</v>
      </c>
      <c r="C15" s="17" t="s">
        <v>78</v>
      </c>
      <c r="D15" s="17" t="s">
        <v>79</v>
      </c>
      <c r="E15" s="17" t="s">
        <v>34</v>
      </c>
      <c r="F15" s="17" t="s">
        <v>35</v>
      </c>
      <c r="G15" s="17" t="s">
        <v>36</v>
      </c>
      <c r="H15" s="17">
        <v>3</v>
      </c>
      <c r="I15" s="19">
        <v>59.99</v>
      </c>
      <c r="J15" s="17" t="s">
        <v>29</v>
      </c>
      <c r="K15" s="17" t="s">
        <v>43</v>
      </c>
      <c r="L15" s="17" t="s">
        <v>39</v>
      </c>
      <c r="M15" s="18">
        <v>45351</v>
      </c>
      <c r="N15" s="19">
        <v>179.97</v>
      </c>
      <c r="O15" s="20">
        <f t="shared" si="0"/>
        <v>45383</v>
      </c>
      <c r="P15" s="21">
        <f t="shared" si="1"/>
        <v>0</v>
      </c>
      <c r="Q15" s="22">
        <f>IF(AND(OR(Analysis!$C$5="All",K15=Analysis!$C$5),OR(Analysis!$C$6="All",G15=Analysis!$C$6)),MAX(Q$1:Q14)+1,"")</f>
        <v>14</v>
      </c>
    </row>
    <row r="16" spans="1:26" x14ac:dyDescent="0.35">
      <c r="A16" s="17" t="s">
        <v>80</v>
      </c>
      <c r="B16" s="18">
        <v>45409</v>
      </c>
      <c r="C16" s="17" t="s">
        <v>81</v>
      </c>
      <c r="D16" s="17" t="s">
        <v>82</v>
      </c>
      <c r="E16" s="17" t="s">
        <v>83</v>
      </c>
      <c r="F16" s="17" t="s">
        <v>84</v>
      </c>
      <c r="G16" s="17" t="s">
        <v>22</v>
      </c>
      <c r="H16" s="17">
        <v>3</v>
      </c>
      <c r="I16" s="19">
        <v>699.99</v>
      </c>
      <c r="J16" s="17" t="s">
        <v>29</v>
      </c>
      <c r="K16" s="17" t="s">
        <v>53</v>
      </c>
      <c r="L16" s="17" t="s">
        <v>25</v>
      </c>
      <c r="M16" s="18">
        <v>44577</v>
      </c>
      <c r="N16" s="19">
        <v>2099.9699999999998</v>
      </c>
      <c r="O16" s="20">
        <f t="shared" si="0"/>
        <v>45383</v>
      </c>
      <c r="P16" s="21">
        <f t="shared" si="1"/>
        <v>2</v>
      </c>
      <c r="Q16" s="22">
        <f>IF(AND(OR(Analysis!$C$5="All",K16=Analysis!$C$5),OR(Analysis!$C$6="All",G16=Analysis!$C$6)),MAX(Q$1:Q15)+1,"")</f>
        <v>15</v>
      </c>
    </row>
    <row r="17" spans="1:17" x14ac:dyDescent="0.35">
      <c r="A17" s="17" t="s">
        <v>85</v>
      </c>
      <c r="B17" s="18">
        <v>45409</v>
      </c>
      <c r="C17" s="17" t="s">
        <v>86</v>
      </c>
      <c r="D17" s="17" t="s">
        <v>87</v>
      </c>
      <c r="E17" s="17" t="s">
        <v>64</v>
      </c>
      <c r="F17" s="17" t="s">
        <v>65</v>
      </c>
      <c r="G17" s="17" t="s">
        <v>22</v>
      </c>
      <c r="H17" s="17">
        <v>1</v>
      </c>
      <c r="I17" s="19">
        <v>899.99</v>
      </c>
      <c r="J17" s="17" t="s">
        <v>60</v>
      </c>
      <c r="K17" s="17" t="s">
        <v>43</v>
      </c>
      <c r="L17" s="17" t="s">
        <v>39</v>
      </c>
      <c r="M17" s="18">
        <v>44920</v>
      </c>
      <c r="N17" s="19">
        <v>899.99</v>
      </c>
      <c r="O17" s="20">
        <f t="shared" si="0"/>
        <v>45383</v>
      </c>
      <c r="P17" s="21">
        <f t="shared" si="1"/>
        <v>1</v>
      </c>
      <c r="Q17" s="22">
        <f>IF(AND(OR(Analysis!$C$5="All",K17=Analysis!$C$5),OR(Analysis!$C$6="All",G17=Analysis!$C$6)),MAX(Q$1:Q16)+1,"")</f>
        <v>16</v>
      </c>
    </row>
    <row r="18" spans="1:17" x14ac:dyDescent="0.35">
      <c r="A18" s="17" t="s">
        <v>88</v>
      </c>
      <c r="B18" s="18">
        <v>45410</v>
      </c>
      <c r="C18" s="17" t="s">
        <v>89</v>
      </c>
      <c r="D18" s="17" t="s">
        <v>90</v>
      </c>
      <c r="E18" s="17" t="s">
        <v>47</v>
      </c>
      <c r="F18" s="17" t="s">
        <v>48</v>
      </c>
      <c r="G18" s="17" t="s">
        <v>49</v>
      </c>
      <c r="H18" s="17">
        <v>4</v>
      </c>
      <c r="I18" s="19">
        <v>149.99</v>
      </c>
      <c r="J18" s="17" t="s">
        <v>60</v>
      </c>
      <c r="K18" s="17" t="s">
        <v>43</v>
      </c>
      <c r="L18" s="17" t="s">
        <v>30</v>
      </c>
      <c r="M18" s="18">
        <v>45374</v>
      </c>
      <c r="N18" s="19">
        <v>599.96</v>
      </c>
      <c r="O18" s="20">
        <f t="shared" si="0"/>
        <v>45383</v>
      </c>
      <c r="P18" s="21">
        <f t="shared" si="1"/>
        <v>0</v>
      </c>
      <c r="Q18" s="22">
        <f>IF(AND(OR(Analysis!$C$5="All",K18=Analysis!$C$5),OR(Analysis!$C$6="All",G18=Analysis!$C$6)),MAX(Q$1:Q17)+1,"")</f>
        <v>17</v>
      </c>
    </row>
    <row r="19" spans="1:17" x14ac:dyDescent="0.35">
      <c r="A19" s="17" t="s">
        <v>91</v>
      </c>
      <c r="B19" s="18">
        <v>45410</v>
      </c>
      <c r="C19" s="17" t="s">
        <v>92</v>
      </c>
      <c r="D19" s="17" t="s">
        <v>93</v>
      </c>
      <c r="E19" s="17" t="s">
        <v>83</v>
      </c>
      <c r="F19" s="17" t="s">
        <v>84</v>
      </c>
      <c r="G19" s="17" t="s">
        <v>22</v>
      </c>
      <c r="H19" s="17">
        <v>2</v>
      </c>
      <c r="I19" s="19">
        <v>699.99</v>
      </c>
      <c r="J19" s="17" t="s">
        <v>23</v>
      </c>
      <c r="K19" s="17" t="s">
        <v>43</v>
      </c>
      <c r="L19" s="17" t="s">
        <v>25</v>
      </c>
      <c r="M19" s="18">
        <v>44781</v>
      </c>
      <c r="N19" s="19">
        <v>1399.98</v>
      </c>
      <c r="O19" s="20">
        <f t="shared" si="0"/>
        <v>45383</v>
      </c>
      <c r="P19" s="21">
        <f t="shared" si="1"/>
        <v>1</v>
      </c>
      <c r="Q19" s="22">
        <f>IF(AND(OR(Analysis!$C$5="All",K19=Analysis!$C$5),OR(Analysis!$C$6="All",G19=Analysis!$C$6)),MAX(Q$1:Q18)+1,"")</f>
        <v>18</v>
      </c>
    </row>
    <row r="20" spans="1:17" x14ac:dyDescent="0.35">
      <c r="A20" s="17" t="s">
        <v>94</v>
      </c>
      <c r="B20" s="18">
        <v>45410</v>
      </c>
      <c r="C20" s="17" t="s">
        <v>89</v>
      </c>
      <c r="D20" s="17" t="s">
        <v>90</v>
      </c>
      <c r="E20" s="17" t="s">
        <v>64</v>
      </c>
      <c r="F20" s="17" t="s">
        <v>65</v>
      </c>
      <c r="G20" s="17" t="s">
        <v>22</v>
      </c>
      <c r="H20" s="17">
        <v>4</v>
      </c>
      <c r="I20" s="19">
        <v>899.99</v>
      </c>
      <c r="J20" s="17" t="s">
        <v>29</v>
      </c>
      <c r="K20" s="17" t="s">
        <v>53</v>
      </c>
      <c r="L20" s="17" t="s">
        <v>39</v>
      </c>
      <c r="M20" s="18">
        <v>45327</v>
      </c>
      <c r="N20" s="19">
        <v>3599.96</v>
      </c>
      <c r="O20" s="20">
        <f t="shared" si="0"/>
        <v>45383</v>
      </c>
      <c r="P20" s="21">
        <f t="shared" si="1"/>
        <v>0</v>
      </c>
      <c r="Q20" s="22">
        <f>IF(AND(OR(Analysis!$C$5="All",K20=Analysis!$C$5),OR(Analysis!$C$6="All",G20=Analysis!$C$6)),MAX(Q$1:Q19)+1,"")</f>
        <v>19</v>
      </c>
    </row>
    <row r="21" spans="1:17" ht="15.75" customHeight="1" x14ac:dyDescent="0.35">
      <c r="A21" s="17" t="s">
        <v>95</v>
      </c>
      <c r="B21" s="18">
        <v>45410</v>
      </c>
      <c r="C21" s="17" t="s">
        <v>96</v>
      </c>
      <c r="D21" s="17" t="s">
        <v>97</v>
      </c>
      <c r="E21" s="17" t="s">
        <v>20</v>
      </c>
      <c r="F21" s="17" t="s">
        <v>21</v>
      </c>
      <c r="G21" s="17" t="s">
        <v>22</v>
      </c>
      <c r="H21" s="17">
        <v>3</v>
      </c>
      <c r="I21" s="19">
        <v>249.99</v>
      </c>
      <c r="J21" s="17" t="s">
        <v>29</v>
      </c>
      <c r="K21" s="17" t="s">
        <v>43</v>
      </c>
      <c r="L21" s="17" t="s">
        <v>30</v>
      </c>
      <c r="M21" s="18">
        <v>45224</v>
      </c>
      <c r="N21" s="19">
        <v>749.97</v>
      </c>
      <c r="O21" s="20">
        <f t="shared" si="0"/>
        <v>45383</v>
      </c>
      <c r="P21" s="21">
        <f t="shared" si="1"/>
        <v>0</v>
      </c>
      <c r="Q21" s="22">
        <f>IF(AND(OR(Analysis!$C$5="All",K21=Analysis!$C$5),OR(Analysis!$C$6="All",G21=Analysis!$C$6)),MAX(Q$1:Q20)+1,"")</f>
        <v>20</v>
      </c>
    </row>
    <row r="22" spans="1:17" ht="15.75" customHeight="1" x14ac:dyDescent="0.35">
      <c r="A22" s="17" t="s">
        <v>98</v>
      </c>
      <c r="B22" s="18">
        <v>45412</v>
      </c>
      <c r="C22" s="17" t="s">
        <v>99</v>
      </c>
      <c r="D22" s="17" t="s">
        <v>100</v>
      </c>
      <c r="E22" s="17" t="s">
        <v>83</v>
      </c>
      <c r="F22" s="17" t="s">
        <v>84</v>
      </c>
      <c r="G22" s="17" t="s">
        <v>22</v>
      </c>
      <c r="H22" s="17">
        <v>5</v>
      </c>
      <c r="I22" s="19">
        <v>699.99</v>
      </c>
      <c r="J22" s="17" t="s">
        <v>23</v>
      </c>
      <c r="K22" s="17" t="s">
        <v>53</v>
      </c>
      <c r="L22" s="17" t="s">
        <v>25</v>
      </c>
      <c r="M22" s="18">
        <v>45167</v>
      </c>
      <c r="N22" s="19">
        <v>3499.95</v>
      </c>
      <c r="O22" s="20">
        <f t="shared" si="0"/>
        <v>45383</v>
      </c>
      <c r="P22" s="21">
        <f t="shared" si="1"/>
        <v>0</v>
      </c>
      <c r="Q22" s="22">
        <f>IF(AND(OR(Analysis!$C$5="All",K22=Analysis!$C$5),OR(Analysis!$C$6="All",G22=Analysis!$C$6)),MAX(Q$1:Q21)+1,"")</f>
        <v>21</v>
      </c>
    </row>
    <row r="23" spans="1:17" ht="15.75" customHeight="1" x14ac:dyDescent="0.35">
      <c r="A23" s="17" t="s">
        <v>101</v>
      </c>
      <c r="B23" s="18">
        <v>45413</v>
      </c>
      <c r="C23" s="17" t="s">
        <v>102</v>
      </c>
      <c r="D23" s="17" t="s">
        <v>103</v>
      </c>
      <c r="E23" s="17" t="s">
        <v>83</v>
      </c>
      <c r="F23" s="17" t="s">
        <v>84</v>
      </c>
      <c r="G23" s="17" t="s">
        <v>22</v>
      </c>
      <c r="H23" s="17">
        <v>4</v>
      </c>
      <c r="I23" s="19">
        <v>699.99</v>
      </c>
      <c r="J23" s="17" t="s">
        <v>23</v>
      </c>
      <c r="K23" s="17" t="s">
        <v>66</v>
      </c>
      <c r="L23" s="17" t="s">
        <v>39</v>
      </c>
      <c r="M23" s="18">
        <v>44409</v>
      </c>
      <c r="N23" s="19">
        <v>2799.96</v>
      </c>
      <c r="O23" s="20">
        <f t="shared" si="0"/>
        <v>45413</v>
      </c>
      <c r="P23" s="21">
        <f t="shared" si="1"/>
        <v>2</v>
      </c>
      <c r="Q23" s="22">
        <f>IF(AND(OR(Analysis!$C$5="All",K23=Analysis!$C$5),OR(Analysis!$C$6="All",G23=Analysis!$C$6)),MAX(Q$1:Q22)+1,"")</f>
        <v>22</v>
      </c>
    </row>
    <row r="24" spans="1:17" ht="15.75" customHeight="1" x14ac:dyDescent="0.35">
      <c r="A24" s="17" t="s">
        <v>104</v>
      </c>
      <c r="B24" s="18">
        <v>45415</v>
      </c>
      <c r="C24" s="17" t="s">
        <v>105</v>
      </c>
      <c r="D24" s="17" t="s">
        <v>106</v>
      </c>
      <c r="E24" s="17" t="s">
        <v>20</v>
      </c>
      <c r="F24" s="17" t="s">
        <v>21</v>
      </c>
      <c r="G24" s="17" t="s">
        <v>22</v>
      </c>
      <c r="H24" s="17">
        <v>4</v>
      </c>
      <c r="I24" s="19">
        <v>249.99</v>
      </c>
      <c r="J24" s="17" t="s">
        <v>37</v>
      </c>
      <c r="K24" s="17" t="s">
        <v>43</v>
      </c>
      <c r="L24" s="17" t="s">
        <v>39</v>
      </c>
      <c r="M24" s="18">
        <v>44468</v>
      </c>
      <c r="N24" s="19">
        <v>999.96</v>
      </c>
      <c r="O24" s="20">
        <f t="shared" si="0"/>
        <v>45413</v>
      </c>
      <c r="P24" s="21">
        <f t="shared" si="1"/>
        <v>2</v>
      </c>
      <c r="Q24" s="22">
        <f>IF(AND(OR(Analysis!$C$5="All",K24=Analysis!$C$5),OR(Analysis!$C$6="All",G24=Analysis!$C$6)),MAX(Q$1:Q23)+1,"")</f>
        <v>23</v>
      </c>
    </row>
    <row r="25" spans="1:17" ht="15.75" customHeight="1" x14ac:dyDescent="0.35">
      <c r="A25" s="17" t="s">
        <v>107</v>
      </c>
      <c r="B25" s="18">
        <v>45416</v>
      </c>
      <c r="C25" s="17" t="s">
        <v>89</v>
      </c>
      <c r="D25" s="17" t="s">
        <v>90</v>
      </c>
      <c r="E25" s="17" t="s">
        <v>108</v>
      </c>
      <c r="F25" s="17" t="s">
        <v>109</v>
      </c>
      <c r="G25" s="17" t="s">
        <v>49</v>
      </c>
      <c r="H25" s="17">
        <v>4</v>
      </c>
      <c r="I25" s="19">
        <v>299.99</v>
      </c>
      <c r="J25" s="17" t="s">
        <v>23</v>
      </c>
      <c r="K25" s="17" t="s">
        <v>53</v>
      </c>
      <c r="L25" s="17" t="s">
        <v>30</v>
      </c>
      <c r="M25" s="18">
        <v>44716</v>
      </c>
      <c r="N25" s="19">
        <v>1199.96</v>
      </c>
      <c r="O25" s="20">
        <f t="shared" si="0"/>
        <v>45413</v>
      </c>
      <c r="P25" s="21">
        <f t="shared" si="1"/>
        <v>1</v>
      </c>
      <c r="Q25" s="22">
        <f>IF(AND(OR(Analysis!$C$5="All",K25=Analysis!$C$5),OR(Analysis!$C$6="All",G25=Analysis!$C$6)),MAX(Q$1:Q24)+1,"")</f>
        <v>24</v>
      </c>
    </row>
    <row r="26" spans="1:17" ht="15.75" customHeight="1" x14ac:dyDescent="0.35">
      <c r="A26" s="17" t="s">
        <v>110</v>
      </c>
      <c r="B26" s="18">
        <v>45422</v>
      </c>
      <c r="C26" s="17" t="s">
        <v>111</v>
      </c>
      <c r="D26" s="17" t="s">
        <v>112</v>
      </c>
      <c r="E26" s="17" t="s">
        <v>20</v>
      </c>
      <c r="F26" s="17" t="s">
        <v>21</v>
      </c>
      <c r="G26" s="17" t="s">
        <v>22</v>
      </c>
      <c r="H26" s="17">
        <v>5</v>
      </c>
      <c r="I26" s="19">
        <v>249.99</v>
      </c>
      <c r="J26" s="17" t="s">
        <v>29</v>
      </c>
      <c r="K26" s="17" t="s">
        <v>53</v>
      </c>
      <c r="L26" s="17" t="s">
        <v>39</v>
      </c>
      <c r="M26" s="18">
        <v>44525</v>
      </c>
      <c r="N26" s="19">
        <v>1249.95</v>
      </c>
      <c r="O26" s="20">
        <f t="shared" si="0"/>
        <v>45413</v>
      </c>
      <c r="P26" s="21">
        <f t="shared" si="1"/>
        <v>2</v>
      </c>
      <c r="Q26" s="22">
        <f>IF(AND(OR(Analysis!$C$5="All",K26=Analysis!$C$5),OR(Analysis!$C$6="All",G26=Analysis!$C$6)),MAX(Q$1:Q25)+1,"")</f>
        <v>25</v>
      </c>
    </row>
    <row r="27" spans="1:17" ht="15.75" customHeight="1" x14ac:dyDescent="0.35">
      <c r="A27" s="17" t="s">
        <v>113</v>
      </c>
      <c r="B27" s="18">
        <v>45424</v>
      </c>
      <c r="C27" s="17" t="s">
        <v>71</v>
      </c>
      <c r="D27" s="17" t="s">
        <v>72</v>
      </c>
      <c r="E27" s="17" t="s">
        <v>108</v>
      </c>
      <c r="F27" s="17" t="s">
        <v>109</v>
      </c>
      <c r="G27" s="17" t="s">
        <v>49</v>
      </c>
      <c r="H27" s="17">
        <v>5</v>
      </c>
      <c r="I27" s="19">
        <v>299.99</v>
      </c>
      <c r="J27" s="17" t="s">
        <v>37</v>
      </c>
      <c r="K27" s="17" t="s">
        <v>66</v>
      </c>
      <c r="L27" s="17" t="s">
        <v>25</v>
      </c>
      <c r="M27" s="18">
        <v>45168</v>
      </c>
      <c r="N27" s="19">
        <v>1499.95</v>
      </c>
      <c r="O27" s="20">
        <f t="shared" si="0"/>
        <v>45413</v>
      </c>
      <c r="P27" s="21">
        <f t="shared" si="1"/>
        <v>0</v>
      </c>
      <c r="Q27" s="22">
        <f>IF(AND(OR(Analysis!$C$5="All",K27=Analysis!$C$5),OR(Analysis!$C$6="All",G27=Analysis!$C$6)),MAX(Q$1:Q26)+1,"")</f>
        <v>26</v>
      </c>
    </row>
    <row r="28" spans="1:17" ht="15.75" customHeight="1" x14ac:dyDescent="0.35">
      <c r="A28" s="17" t="s">
        <v>114</v>
      </c>
      <c r="B28" s="18">
        <v>45424</v>
      </c>
      <c r="C28" s="17" t="s">
        <v>115</v>
      </c>
      <c r="D28" s="17" t="s">
        <v>116</v>
      </c>
      <c r="E28" s="17" t="s">
        <v>117</v>
      </c>
      <c r="F28" s="17" t="s">
        <v>118</v>
      </c>
      <c r="G28" s="17" t="s">
        <v>36</v>
      </c>
      <c r="H28" s="17">
        <v>3</v>
      </c>
      <c r="I28" s="19">
        <v>79.989999999999995</v>
      </c>
      <c r="J28" s="17" t="s">
        <v>37</v>
      </c>
      <c r="K28" s="17" t="s">
        <v>66</v>
      </c>
      <c r="L28" s="17" t="s">
        <v>30</v>
      </c>
      <c r="M28" s="18">
        <v>45012</v>
      </c>
      <c r="N28" s="19">
        <v>239.97</v>
      </c>
      <c r="O28" s="20">
        <f t="shared" si="0"/>
        <v>45413</v>
      </c>
      <c r="P28" s="21">
        <f t="shared" si="1"/>
        <v>1</v>
      </c>
      <c r="Q28" s="22">
        <f>IF(AND(OR(Analysis!$C$5="All",K28=Analysis!$C$5),OR(Analysis!$C$6="All",G28=Analysis!$C$6)),MAX(Q$1:Q27)+1,"")</f>
        <v>27</v>
      </c>
    </row>
    <row r="29" spans="1:17" ht="15.75" customHeight="1" x14ac:dyDescent="0.35">
      <c r="A29" s="17" t="s">
        <v>119</v>
      </c>
      <c r="B29" s="18">
        <v>45424</v>
      </c>
      <c r="C29" s="17" t="s">
        <v>102</v>
      </c>
      <c r="D29" s="17" t="s">
        <v>103</v>
      </c>
      <c r="E29" s="17" t="s">
        <v>120</v>
      </c>
      <c r="F29" s="17" t="s">
        <v>121</v>
      </c>
      <c r="G29" s="17" t="s">
        <v>22</v>
      </c>
      <c r="H29" s="17">
        <v>5</v>
      </c>
      <c r="I29" s="19">
        <v>89.99</v>
      </c>
      <c r="J29" s="17" t="s">
        <v>23</v>
      </c>
      <c r="K29" s="17" t="s">
        <v>43</v>
      </c>
      <c r="L29" s="17" t="s">
        <v>30</v>
      </c>
      <c r="M29" s="18">
        <v>44919</v>
      </c>
      <c r="N29" s="19">
        <v>449.95</v>
      </c>
      <c r="O29" s="20">
        <f t="shared" si="0"/>
        <v>45413</v>
      </c>
      <c r="P29" s="21">
        <f t="shared" si="1"/>
        <v>1</v>
      </c>
      <c r="Q29" s="22">
        <f>IF(AND(OR(Analysis!$C$5="All",K29=Analysis!$C$5),OR(Analysis!$C$6="All",G29=Analysis!$C$6)),MAX(Q$1:Q28)+1,"")</f>
        <v>28</v>
      </c>
    </row>
    <row r="30" spans="1:17" ht="15.75" customHeight="1" x14ac:dyDescent="0.35">
      <c r="A30" s="17" t="s">
        <v>122</v>
      </c>
      <c r="B30" s="18">
        <v>45425</v>
      </c>
      <c r="C30" s="17" t="s">
        <v>123</v>
      </c>
      <c r="D30" s="17" t="s">
        <v>124</v>
      </c>
      <c r="E30" s="17" t="s">
        <v>34</v>
      </c>
      <c r="F30" s="17" t="s">
        <v>35</v>
      </c>
      <c r="G30" s="17" t="s">
        <v>36</v>
      </c>
      <c r="H30" s="17">
        <v>2</v>
      </c>
      <c r="I30" s="19">
        <v>59.99</v>
      </c>
      <c r="J30" s="17" t="s">
        <v>60</v>
      </c>
      <c r="K30" s="17" t="s">
        <v>24</v>
      </c>
      <c r="L30" s="17" t="s">
        <v>39</v>
      </c>
      <c r="M30" s="18">
        <v>45214</v>
      </c>
      <c r="N30" s="19">
        <v>119.98</v>
      </c>
      <c r="O30" s="20">
        <f t="shared" si="0"/>
        <v>45413</v>
      </c>
      <c r="P30" s="21">
        <f t="shared" si="1"/>
        <v>0</v>
      </c>
      <c r="Q30" s="22">
        <f>IF(AND(OR(Analysis!$C$5="All",K30=Analysis!$C$5),OR(Analysis!$C$6="All",G30=Analysis!$C$6)),MAX(Q$1:Q29)+1,"")</f>
        <v>29</v>
      </c>
    </row>
    <row r="31" spans="1:17" ht="15.75" customHeight="1" x14ac:dyDescent="0.35">
      <c r="A31" s="17" t="s">
        <v>125</v>
      </c>
      <c r="B31" s="18">
        <v>45427</v>
      </c>
      <c r="C31" s="17" t="s">
        <v>126</v>
      </c>
      <c r="D31" s="17" t="s">
        <v>127</v>
      </c>
      <c r="E31" s="17" t="s">
        <v>34</v>
      </c>
      <c r="F31" s="17" t="s">
        <v>35</v>
      </c>
      <c r="G31" s="17" t="s">
        <v>36</v>
      </c>
      <c r="H31" s="17">
        <v>4</v>
      </c>
      <c r="I31" s="19">
        <v>59.99</v>
      </c>
      <c r="J31" s="17" t="s">
        <v>60</v>
      </c>
      <c r="K31" s="17" t="s">
        <v>66</v>
      </c>
      <c r="L31" s="17" t="s">
        <v>39</v>
      </c>
      <c r="M31" s="18">
        <v>44867</v>
      </c>
      <c r="N31" s="19">
        <v>239.96</v>
      </c>
      <c r="O31" s="20">
        <f t="shared" si="0"/>
        <v>45413</v>
      </c>
      <c r="P31" s="21">
        <f t="shared" si="1"/>
        <v>1</v>
      </c>
      <c r="Q31" s="22">
        <f>IF(AND(OR(Analysis!$C$5="All",K31=Analysis!$C$5),OR(Analysis!$C$6="All",G31=Analysis!$C$6)),MAX(Q$1:Q30)+1,"")</f>
        <v>30</v>
      </c>
    </row>
    <row r="32" spans="1:17" ht="15.75" customHeight="1" x14ac:dyDescent="0.35">
      <c r="A32" s="17" t="s">
        <v>128</v>
      </c>
      <c r="B32" s="18">
        <v>45427</v>
      </c>
      <c r="C32" s="17" t="s">
        <v>58</v>
      </c>
      <c r="D32" s="17" t="s">
        <v>59</v>
      </c>
      <c r="E32" s="17" t="s">
        <v>129</v>
      </c>
      <c r="F32" s="17" t="s">
        <v>130</v>
      </c>
      <c r="G32" s="17" t="s">
        <v>49</v>
      </c>
      <c r="H32" s="17">
        <v>5</v>
      </c>
      <c r="I32" s="19">
        <v>199.99</v>
      </c>
      <c r="J32" s="17" t="s">
        <v>23</v>
      </c>
      <c r="K32" s="17" t="s">
        <v>38</v>
      </c>
      <c r="L32" s="17" t="s">
        <v>39</v>
      </c>
      <c r="M32" s="18">
        <v>44412</v>
      </c>
      <c r="N32" s="19">
        <v>999.95</v>
      </c>
      <c r="O32" s="20">
        <f t="shared" si="0"/>
        <v>45413</v>
      </c>
      <c r="P32" s="21">
        <f t="shared" si="1"/>
        <v>2</v>
      </c>
      <c r="Q32" s="22">
        <f>IF(AND(OR(Analysis!$C$5="All",K32=Analysis!$C$5),OR(Analysis!$C$6="All",G32=Analysis!$C$6)),MAX(Q$1:Q31)+1,"")</f>
        <v>31</v>
      </c>
    </row>
    <row r="33" spans="1:17" ht="15.75" customHeight="1" x14ac:dyDescent="0.35">
      <c r="A33" s="17" t="s">
        <v>131</v>
      </c>
      <c r="B33" s="18">
        <v>45428</v>
      </c>
      <c r="C33" s="17" t="s">
        <v>132</v>
      </c>
      <c r="D33" s="17" t="s">
        <v>133</v>
      </c>
      <c r="E33" s="17" t="s">
        <v>47</v>
      </c>
      <c r="F33" s="17" t="s">
        <v>48</v>
      </c>
      <c r="G33" s="17" t="s">
        <v>49</v>
      </c>
      <c r="H33" s="17">
        <v>2</v>
      </c>
      <c r="I33" s="19">
        <v>149.99</v>
      </c>
      <c r="J33" s="17" t="s">
        <v>29</v>
      </c>
      <c r="K33" s="17" t="s">
        <v>53</v>
      </c>
      <c r="L33" s="17" t="s">
        <v>25</v>
      </c>
      <c r="M33" s="18">
        <v>44823</v>
      </c>
      <c r="N33" s="19">
        <v>299.98</v>
      </c>
      <c r="O33" s="20">
        <f t="shared" si="0"/>
        <v>45413</v>
      </c>
      <c r="P33" s="21">
        <f t="shared" si="1"/>
        <v>1</v>
      </c>
      <c r="Q33" s="22">
        <f>IF(AND(OR(Analysis!$C$5="All",K33=Analysis!$C$5),OR(Analysis!$C$6="All",G33=Analysis!$C$6)),MAX(Q$1:Q32)+1,"")</f>
        <v>32</v>
      </c>
    </row>
    <row r="34" spans="1:17" ht="15.75" customHeight="1" x14ac:dyDescent="0.35">
      <c r="A34" s="17" t="s">
        <v>134</v>
      </c>
      <c r="B34" s="18">
        <v>45430</v>
      </c>
      <c r="C34" s="17" t="s">
        <v>135</v>
      </c>
      <c r="D34" s="17" t="s">
        <v>136</v>
      </c>
      <c r="E34" s="17" t="s">
        <v>47</v>
      </c>
      <c r="F34" s="17" t="s">
        <v>48</v>
      </c>
      <c r="G34" s="17" t="s">
        <v>49</v>
      </c>
      <c r="H34" s="17">
        <v>3</v>
      </c>
      <c r="I34" s="19">
        <v>149.99</v>
      </c>
      <c r="J34" s="17" t="s">
        <v>29</v>
      </c>
      <c r="K34" s="17" t="s">
        <v>53</v>
      </c>
      <c r="L34" s="17" t="s">
        <v>30</v>
      </c>
      <c r="M34" s="18">
        <v>45068</v>
      </c>
      <c r="N34" s="19">
        <v>449.97</v>
      </c>
      <c r="O34" s="20">
        <f t="shared" si="0"/>
        <v>45413</v>
      </c>
      <c r="P34" s="21">
        <f t="shared" si="1"/>
        <v>0</v>
      </c>
      <c r="Q34" s="22">
        <f>IF(AND(OR(Analysis!$C$5="All",K34=Analysis!$C$5),OR(Analysis!$C$6="All",G34=Analysis!$C$6)),MAX(Q$1:Q33)+1,"")</f>
        <v>33</v>
      </c>
    </row>
    <row r="35" spans="1:17" ht="15.75" customHeight="1" x14ac:dyDescent="0.35">
      <c r="A35" s="17" t="s">
        <v>137</v>
      </c>
      <c r="B35" s="18">
        <v>45432</v>
      </c>
      <c r="C35" s="17" t="s">
        <v>32</v>
      </c>
      <c r="D35" s="17" t="s">
        <v>33</v>
      </c>
      <c r="E35" s="17" t="s">
        <v>64</v>
      </c>
      <c r="F35" s="17" t="s">
        <v>65</v>
      </c>
      <c r="G35" s="17" t="s">
        <v>22</v>
      </c>
      <c r="H35" s="17">
        <v>1</v>
      </c>
      <c r="I35" s="19">
        <v>899.99</v>
      </c>
      <c r="J35" s="17" t="s">
        <v>29</v>
      </c>
      <c r="K35" s="17" t="s">
        <v>53</v>
      </c>
      <c r="L35" s="17" t="s">
        <v>30</v>
      </c>
      <c r="M35" s="18">
        <v>44578</v>
      </c>
      <c r="N35" s="19">
        <v>899.99</v>
      </c>
      <c r="O35" s="20">
        <f t="shared" si="0"/>
        <v>45413</v>
      </c>
      <c r="P35" s="21">
        <f t="shared" si="1"/>
        <v>2</v>
      </c>
      <c r="Q35" s="22">
        <f>IF(AND(OR(Analysis!$C$5="All",K35=Analysis!$C$5),OR(Analysis!$C$6="All",G35=Analysis!$C$6)),MAX(Q$1:Q34)+1,"")</f>
        <v>34</v>
      </c>
    </row>
    <row r="36" spans="1:17" ht="15.75" customHeight="1" x14ac:dyDescent="0.35">
      <c r="A36" s="17" t="s">
        <v>138</v>
      </c>
      <c r="B36" s="18">
        <v>45434</v>
      </c>
      <c r="C36" s="17" t="s">
        <v>102</v>
      </c>
      <c r="D36" s="17" t="s">
        <v>103</v>
      </c>
      <c r="E36" s="17" t="s">
        <v>108</v>
      </c>
      <c r="F36" s="17" t="s">
        <v>109</v>
      </c>
      <c r="G36" s="17" t="s">
        <v>49</v>
      </c>
      <c r="H36" s="17">
        <v>3</v>
      </c>
      <c r="I36" s="19">
        <v>299.99</v>
      </c>
      <c r="J36" s="17" t="s">
        <v>29</v>
      </c>
      <c r="K36" s="17" t="s">
        <v>66</v>
      </c>
      <c r="L36" s="17" t="s">
        <v>25</v>
      </c>
      <c r="M36" s="18">
        <v>44824</v>
      </c>
      <c r="N36" s="19">
        <v>899.97</v>
      </c>
      <c r="O36" s="20">
        <f t="shared" si="0"/>
        <v>45413</v>
      </c>
      <c r="P36" s="21">
        <f t="shared" si="1"/>
        <v>1</v>
      </c>
      <c r="Q36" s="22">
        <f>IF(AND(OR(Analysis!$C$5="All",K36=Analysis!$C$5),OR(Analysis!$C$6="All",G36=Analysis!$C$6)),MAX(Q$1:Q35)+1,"")</f>
        <v>35</v>
      </c>
    </row>
    <row r="37" spans="1:17" ht="15.75" customHeight="1" x14ac:dyDescent="0.35">
      <c r="A37" s="17" t="s">
        <v>139</v>
      </c>
      <c r="B37" s="18">
        <v>45435</v>
      </c>
      <c r="C37" s="17" t="s">
        <v>132</v>
      </c>
      <c r="D37" s="17" t="s">
        <v>133</v>
      </c>
      <c r="E37" s="17" t="s">
        <v>117</v>
      </c>
      <c r="F37" s="17" t="s">
        <v>118</v>
      </c>
      <c r="G37" s="17" t="s">
        <v>36</v>
      </c>
      <c r="H37" s="17">
        <v>3</v>
      </c>
      <c r="I37" s="19">
        <v>79.989999999999995</v>
      </c>
      <c r="J37" s="17" t="s">
        <v>23</v>
      </c>
      <c r="K37" s="17" t="s">
        <v>38</v>
      </c>
      <c r="L37" s="17" t="s">
        <v>25</v>
      </c>
      <c r="M37" s="18">
        <v>45046</v>
      </c>
      <c r="N37" s="19">
        <v>239.97</v>
      </c>
      <c r="O37" s="20">
        <f t="shared" si="0"/>
        <v>45413</v>
      </c>
      <c r="P37" s="21">
        <f t="shared" si="1"/>
        <v>1</v>
      </c>
      <c r="Q37" s="22">
        <f>IF(AND(OR(Analysis!$C$5="All",K37=Analysis!$C$5),OR(Analysis!$C$6="All",G37=Analysis!$C$6)),MAX(Q$1:Q36)+1,"")</f>
        <v>36</v>
      </c>
    </row>
    <row r="38" spans="1:17" ht="15.75" customHeight="1" x14ac:dyDescent="0.35">
      <c r="A38" s="17" t="s">
        <v>140</v>
      </c>
      <c r="B38" s="18">
        <v>45438</v>
      </c>
      <c r="C38" s="17" t="s">
        <v>141</v>
      </c>
      <c r="D38" s="17" t="s">
        <v>142</v>
      </c>
      <c r="E38" s="17" t="s">
        <v>129</v>
      </c>
      <c r="F38" s="17" t="s">
        <v>130</v>
      </c>
      <c r="G38" s="17" t="s">
        <v>49</v>
      </c>
      <c r="H38" s="17">
        <v>3</v>
      </c>
      <c r="I38" s="19">
        <v>199.99</v>
      </c>
      <c r="J38" s="17" t="s">
        <v>29</v>
      </c>
      <c r="K38" s="17" t="s">
        <v>43</v>
      </c>
      <c r="L38" s="17" t="s">
        <v>30</v>
      </c>
      <c r="M38" s="18">
        <v>45292</v>
      </c>
      <c r="N38" s="19">
        <v>599.97</v>
      </c>
      <c r="O38" s="20">
        <f t="shared" si="0"/>
        <v>45413</v>
      </c>
      <c r="P38" s="21">
        <f t="shared" si="1"/>
        <v>0</v>
      </c>
      <c r="Q38" s="22">
        <f>IF(AND(OR(Analysis!$C$5="All",K38=Analysis!$C$5),OR(Analysis!$C$6="All",G38=Analysis!$C$6)),MAX(Q$1:Q37)+1,"")</f>
        <v>37</v>
      </c>
    </row>
    <row r="39" spans="1:17" ht="15.75" customHeight="1" x14ac:dyDescent="0.35">
      <c r="A39" s="17" t="s">
        <v>143</v>
      </c>
      <c r="B39" s="18">
        <v>45440</v>
      </c>
      <c r="C39" s="17" t="s">
        <v>144</v>
      </c>
      <c r="D39" s="17" t="s">
        <v>145</v>
      </c>
      <c r="E39" s="17" t="s">
        <v>83</v>
      </c>
      <c r="F39" s="17" t="s">
        <v>84</v>
      </c>
      <c r="G39" s="17" t="s">
        <v>22</v>
      </c>
      <c r="H39" s="17">
        <v>5</v>
      </c>
      <c r="I39" s="19">
        <v>699.99</v>
      </c>
      <c r="J39" s="17" t="s">
        <v>37</v>
      </c>
      <c r="K39" s="17" t="s">
        <v>53</v>
      </c>
      <c r="L39" s="17" t="s">
        <v>39</v>
      </c>
      <c r="M39" s="18">
        <v>44407</v>
      </c>
      <c r="N39" s="19">
        <v>3499.95</v>
      </c>
      <c r="O39" s="20">
        <f t="shared" si="0"/>
        <v>45413</v>
      </c>
      <c r="P39" s="21">
        <f t="shared" si="1"/>
        <v>2</v>
      </c>
      <c r="Q39" s="22">
        <f>IF(AND(OR(Analysis!$C$5="All",K39=Analysis!$C$5),OR(Analysis!$C$6="All",G39=Analysis!$C$6)),MAX(Q$1:Q38)+1,"")</f>
        <v>38</v>
      </c>
    </row>
    <row r="40" spans="1:17" ht="15.75" customHeight="1" x14ac:dyDescent="0.35">
      <c r="A40" s="17" t="s">
        <v>146</v>
      </c>
      <c r="B40" s="18">
        <v>45441</v>
      </c>
      <c r="C40" s="17" t="s">
        <v>147</v>
      </c>
      <c r="D40" s="17" t="s">
        <v>148</v>
      </c>
      <c r="E40" s="17" t="s">
        <v>120</v>
      </c>
      <c r="F40" s="17" t="s">
        <v>121</v>
      </c>
      <c r="G40" s="17" t="s">
        <v>22</v>
      </c>
      <c r="H40" s="17">
        <v>3</v>
      </c>
      <c r="I40" s="19">
        <v>89.99</v>
      </c>
      <c r="J40" s="17" t="s">
        <v>37</v>
      </c>
      <c r="K40" s="17" t="s">
        <v>24</v>
      </c>
      <c r="L40" s="17" t="s">
        <v>30</v>
      </c>
      <c r="M40" s="18">
        <v>45120</v>
      </c>
      <c r="N40" s="19">
        <v>269.97000000000003</v>
      </c>
      <c r="O40" s="20">
        <f t="shared" si="0"/>
        <v>45413</v>
      </c>
      <c r="P40" s="21">
        <f t="shared" si="1"/>
        <v>0</v>
      </c>
      <c r="Q40" s="22">
        <f>IF(AND(OR(Analysis!$C$5="All",K40=Analysis!$C$5),OR(Analysis!$C$6="All",G40=Analysis!$C$6)),MAX(Q$1:Q39)+1,"")</f>
        <v>39</v>
      </c>
    </row>
    <row r="41" spans="1:17" ht="15.75" customHeight="1" x14ac:dyDescent="0.35">
      <c r="A41" s="17" t="s">
        <v>149</v>
      </c>
      <c r="B41" s="18">
        <v>45443</v>
      </c>
      <c r="C41" s="17" t="s">
        <v>150</v>
      </c>
      <c r="D41" s="17" t="s">
        <v>151</v>
      </c>
      <c r="E41" s="17" t="s">
        <v>117</v>
      </c>
      <c r="F41" s="17" t="s">
        <v>118</v>
      </c>
      <c r="G41" s="17" t="s">
        <v>36</v>
      </c>
      <c r="H41" s="17">
        <v>1</v>
      </c>
      <c r="I41" s="19">
        <v>79.989999999999995</v>
      </c>
      <c r="J41" s="17" t="s">
        <v>23</v>
      </c>
      <c r="K41" s="17" t="s">
        <v>43</v>
      </c>
      <c r="L41" s="17" t="s">
        <v>39</v>
      </c>
      <c r="M41" s="18">
        <v>44917</v>
      </c>
      <c r="N41" s="19">
        <v>79.989999999999995</v>
      </c>
      <c r="O41" s="20">
        <f t="shared" si="0"/>
        <v>45413</v>
      </c>
      <c r="P41" s="21">
        <f t="shared" si="1"/>
        <v>1</v>
      </c>
      <c r="Q41" s="22">
        <f>IF(AND(OR(Analysis!$C$5="All",K41=Analysis!$C$5),OR(Analysis!$C$6="All",G41=Analysis!$C$6)),MAX(Q$1:Q40)+1,"")</f>
        <v>40</v>
      </c>
    </row>
    <row r="42" spans="1:17" ht="15.75" customHeight="1" x14ac:dyDescent="0.35">
      <c r="A42" s="17" t="s">
        <v>152</v>
      </c>
      <c r="B42" s="18">
        <v>45444</v>
      </c>
      <c r="C42" s="17" t="s">
        <v>153</v>
      </c>
      <c r="D42" s="17" t="s">
        <v>154</v>
      </c>
      <c r="E42" s="17" t="s">
        <v>34</v>
      </c>
      <c r="F42" s="17" t="s">
        <v>35</v>
      </c>
      <c r="G42" s="17" t="s">
        <v>36</v>
      </c>
      <c r="H42" s="17">
        <v>2</v>
      </c>
      <c r="I42" s="19">
        <v>59.99</v>
      </c>
      <c r="J42" s="17" t="s">
        <v>23</v>
      </c>
      <c r="K42" s="17" t="s">
        <v>53</v>
      </c>
      <c r="L42" s="17" t="s">
        <v>25</v>
      </c>
      <c r="M42" s="18">
        <v>45390</v>
      </c>
      <c r="N42" s="19">
        <v>119.98</v>
      </c>
      <c r="O42" s="20">
        <f t="shared" si="0"/>
        <v>45444</v>
      </c>
      <c r="P42" s="21">
        <f t="shared" si="1"/>
        <v>0</v>
      </c>
      <c r="Q42" s="22">
        <f>IF(AND(OR(Analysis!$C$5="All",K42=Analysis!$C$5),OR(Analysis!$C$6="All",G42=Analysis!$C$6)),MAX(Q$1:Q41)+1,"")</f>
        <v>41</v>
      </c>
    </row>
    <row r="43" spans="1:17" ht="15.75" customHeight="1" x14ac:dyDescent="0.35">
      <c r="A43" s="17" t="s">
        <v>155</v>
      </c>
      <c r="B43" s="18">
        <v>45444</v>
      </c>
      <c r="C43" s="17" t="s">
        <v>58</v>
      </c>
      <c r="D43" s="17" t="s">
        <v>59</v>
      </c>
      <c r="E43" s="17" t="s">
        <v>120</v>
      </c>
      <c r="F43" s="17" t="s">
        <v>121</v>
      </c>
      <c r="G43" s="17" t="s">
        <v>22</v>
      </c>
      <c r="H43" s="17">
        <v>1</v>
      </c>
      <c r="I43" s="19">
        <v>89.99</v>
      </c>
      <c r="J43" s="17" t="s">
        <v>23</v>
      </c>
      <c r="K43" s="17" t="s">
        <v>43</v>
      </c>
      <c r="L43" s="17" t="s">
        <v>25</v>
      </c>
      <c r="M43" s="18">
        <v>45141</v>
      </c>
      <c r="N43" s="19">
        <v>89.99</v>
      </c>
      <c r="O43" s="20">
        <f t="shared" si="0"/>
        <v>45444</v>
      </c>
      <c r="P43" s="21">
        <f t="shared" si="1"/>
        <v>0</v>
      </c>
      <c r="Q43" s="22">
        <f>IF(AND(OR(Analysis!$C$5="All",K43=Analysis!$C$5),OR(Analysis!$C$6="All",G43=Analysis!$C$6)),MAX(Q$1:Q42)+1,"")</f>
        <v>42</v>
      </c>
    </row>
    <row r="44" spans="1:17" ht="15.75" customHeight="1" x14ac:dyDescent="0.35">
      <c r="A44" s="17" t="s">
        <v>156</v>
      </c>
      <c r="B44" s="18">
        <v>45446</v>
      </c>
      <c r="C44" s="17" t="s">
        <v>157</v>
      </c>
      <c r="D44" s="17" t="s">
        <v>158</v>
      </c>
      <c r="E44" s="17" t="s">
        <v>120</v>
      </c>
      <c r="F44" s="17" t="s">
        <v>121</v>
      </c>
      <c r="G44" s="17" t="s">
        <v>22</v>
      </c>
      <c r="H44" s="17">
        <v>5</v>
      </c>
      <c r="I44" s="19">
        <v>89.99</v>
      </c>
      <c r="J44" s="17" t="s">
        <v>29</v>
      </c>
      <c r="K44" s="17" t="s">
        <v>66</v>
      </c>
      <c r="L44" s="17" t="s">
        <v>39</v>
      </c>
      <c r="M44" s="18">
        <v>44587</v>
      </c>
      <c r="N44" s="19">
        <v>449.95</v>
      </c>
      <c r="O44" s="20">
        <f t="shared" si="0"/>
        <v>45444</v>
      </c>
      <c r="P44" s="21">
        <f t="shared" si="1"/>
        <v>2</v>
      </c>
      <c r="Q44" s="22">
        <f>IF(AND(OR(Analysis!$C$5="All",K44=Analysis!$C$5),OR(Analysis!$C$6="All",G44=Analysis!$C$6)),MAX(Q$1:Q43)+1,"")</f>
        <v>43</v>
      </c>
    </row>
    <row r="45" spans="1:17" ht="15.75" customHeight="1" x14ac:dyDescent="0.35">
      <c r="A45" s="17" t="s">
        <v>159</v>
      </c>
      <c r="B45" s="18">
        <v>45449</v>
      </c>
      <c r="C45" s="17" t="s">
        <v>27</v>
      </c>
      <c r="D45" s="17" t="s">
        <v>28</v>
      </c>
      <c r="E45" s="17" t="s">
        <v>20</v>
      </c>
      <c r="F45" s="17" t="s">
        <v>21</v>
      </c>
      <c r="G45" s="17" t="s">
        <v>22</v>
      </c>
      <c r="H45" s="17">
        <v>5</v>
      </c>
      <c r="I45" s="19">
        <v>249.99</v>
      </c>
      <c r="J45" s="17" t="s">
        <v>29</v>
      </c>
      <c r="K45" s="17" t="s">
        <v>66</v>
      </c>
      <c r="L45" s="17" t="s">
        <v>39</v>
      </c>
      <c r="M45" s="18">
        <v>44707</v>
      </c>
      <c r="N45" s="19">
        <v>1249.95</v>
      </c>
      <c r="O45" s="20">
        <f t="shared" si="0"/>
        <v>45444</v>
      </c>
      <c r="P45" s="21">
        <f t="shared" si="1"/>
        <v>2</v>
      </c>
      <c r="Q45" s="22">
        <f>IF(AND(OR(Analysis!$C$5="All",K45=Analysis!$C$5),OR(Analysis!$C$6="All",G45=Analysis!$C$6)),MAX(Q$1:Q44)+1,"")</f>
        <v>44</v>
      </c>
    </row>
    <row r="46" spans="1:17" ht="15.75" customHeight="1" x14ac:dyDescent="0.35">
      <c r="A46" s="17" t="s">
        <v>160</v>
      </c>
      <c r="B46" s="18">
        <v>45449</v>
      </c>
      <c r="C46" s="17" t="s">
        <v>161</v>
      </c>
      <c r="D46" s="17" t="s">
        <v>162</v>
      </c>
      <c r="E46" s="17" t="s">
        <v>120</v>
      </c>
      <c r="F46" s="17" t="s">
        <v>121</v>
      </c>
      <c r="G46" s="17" t="s">
        <v>22</v>
      </c>
      <c r="H46" s="17">
        <v>1</v>
      </c>
      <c r="I46" s="19">
        <v>89.99</v>
      </c>
      <c r="J46" s="17" t="s">
        <v>29</v>
      </c>
      <c r="K46" s="17" t="s">
        <v>38</v>
      </c>
      <c r="L46" s="17" t="s">
        <v>39</v>
      </c>
      <c r="M46" s="18">
        <v>44582</v>
      </c>
      <c r="N46" s="19">
        <v>89.99</v>
      </c>
      <c r="O46" s="20">
        <f t="shared" si="0"/>
        <v>45444</v>
      </c>
      <c r="P46" s="21">
        <f t="shared" si="1"/>
        <v>2</v>
      </c>
      <c r="Q46" s="22">
        <f>IF(AND(OR(Analysis!$C$5="All",K46=Analysis!$C$5),OR(Analysis!$C$6="All",G46=Analysis!$C$6)),MAX(Q$1:Q45)+1,"")</f>
        <v>45</v>
      </c>
    </row>
    <row r="47" spans="1:17" ht="15.75" customHeight="1" x14ac:dyDescent="0.35">
      <c r="A47" s="17" t="s">
        <v>163</v>
      </c>
      <c r="B47" s="18">
        <v>45450</v>
      </c>
      <c r="C47" s="17" t="s">
        <v>45</v>
      </c>
      <c r="D47" s="17" t="s">
        <v>46</v>
      </c>
      <c r="E47" s="17" t="s">
        <v>47</v>
      </c>
      <c r="F47" s="17" t="s">
        <v>48</v>
      </c>
      <c r="G47" s="17" t="s">
        <v>49</v>
      </c>
      <c r="H47" s="17">
        <v>2</v>
      </c>
      <c r="I47" s="19">
        <v>149.99</v>
      </c>
      <c r="J47" s="17" t="s">
        <v>23</v>
      </c>
      <c r="K47" s="17" t="s">
        <v>66</v>
      </c>
      <c r="L47" s="17" t="s">
        <v>30</v>
      </c>
      <c r="M47" s="18">
        <v>44645</v>
      </c>
      <c r="N47" s="19">
        <v>299.98</v>
      </c>
      <c r="O47" s="20">
        <f t="shared" si="0"/>
        <v>45444</v>
      </c>
      <c r="P47" s="21">
        <f t="shared" si="1"/>
        <v>2</v>
      </c>
      <c r="Q47" s="22">
        <f>IF(AND(OR(Analysis!$C$5="All",K47=Analysis!$C$5),OR(Analysis!$C$6="All",G47=Analysis!$C$6)),MAX(Q$1:Q46)+1,"")</f>
        <v>46</v>
      </c>
    </row>
    <row r="48" spans="1:17" ht="15.75" customHeight="1" x14ac:dyDescent="0.35">
      <c r="A48" s="17" t="s">
        <v>164</v>
      </c>
      <c r="B48" s="18">
        <v>45452</v>
      </c>
      <c r="C48" s="17" t="s">
        <v>165</v>
      </c>
      <c r="D48" s="17" t="s">
        <v>166</v>
      </c>
      <c r="E48" s="17" t="s">
        <v>34</v>
      </c>
      <c r="F48" s="17" t="s">
        <v>35</v>
      </c>
      <c r="G48" s="17" t="s">
        <v>36</v>
      </c>
      <c r="H48" s="17">
        <v>4</v>
      </c>
      <c r="I48" s="19">
        <v>59.99</v>
      </c>
      <c r="J48" s="17" t="s">
        <v>23</v>
      </c>
      <c r="K48" s="17" t="s">
        <v>66</v>
      </c>
      <c r="L48" s="17" t="s">
        <v>39</v>
      </c>
      <c r="M48" s="18">
        <v>44435</v>
      </c>
      <c r="N48" s="19">
        <v>239.96</v>
      </c>
      <c r="O48" s="20">
        <f t="shared" si="0"/>
        <v>45444</v>
      </c>
      <c r="P48" s="21">
        <f t="shared" si="1"/>
        <v>2</v>
      </c>
      <c r="Q48" s="22">
        <f>IF(AND(OR(Analysis!$C$5="All",K48=Analysis!$C$5),OR(Analysis!$C$6="All",G48=Analysis!$C$6)),MAX(Q$1:Q47)+1,"")</f>
        <v>47</v>
      </c>
    </row>
    <row r="49" spans="1:17" ht="15.75" customHeight="1" x14ac:dyDescent="0.35">
      <c r="A49" s="17" t="s">
        <v>167</v>
      </c>
      <c r="B49" s="18">
        <v>45456</v>
      </c>
      <c r="C49" s="17" t="s">
        <v>132</v>
      </c>
      <c r="D49" s="17" t="s">
        <v>133</v>
      </c>
      <c r="E49" s="17" t="s">
        <v>120</v>
      </c>
      <c r="F49" s="17" t="s">
        <v>121</v>
      </c>
      <c r="G49" s="17" t="s">
        <v>22</v>
      </c>
      <c r="H49" s="17">
        <v>5</v>
      </c>
      <c r="I49" s="19">
        <v>89.99</v>
      </c>
      <c r="J49" s="17" t="s">
        <v>23</v>
      </c>
      <c r="K49" s="17" t="s">
        <v>24</v>
      </c>
      <c r="L49" s="17" t="s">
        <v>30</v>
      </c>
      <c r="M49" s="18">
        <v>44579</v>
      </c>
      <c r="N49" s="19">
        <v>449.95</v>
      </c>
      <c r="O49" s="20">
        <f t="shared" si="0"/>
        <v>45444</v>
      </c>
      <c r="P49" s="21">
        <f t="shared" si="1"/>
        <v>2</v>
      </c>
      <c r="Q49" s="22">
        <f>IF(AND(OR(Analysis!$C$5="All",K49=Analysis!$C$5),OR(Analysis!$C$6="All",G49=Analysis!$C$6)),MAX(Q$1:Q48)+1,"")</f>
        <v>48</v>
      </c>
    </row>
    <row r="50" spans="1:17" ht="15.75" customHeight="1" x14ac:dyDescent="0.35">
      <c r="A50" s="17" t="s">
        <v>168</v>
      </c>
      <c r="B50" s="18">
        <v>45459</v>
      </c>
      <c r="C50" s="17" t="s">
        <v>102</v>
      </c>
      <c r="D50" s="17" t="s">
        <v>103</v>
      </c>
      <c r="E50" s="17" t="s">
        <v>120</v>
      </c>
      <c r="F50" s="17" t="s">
        <v>121</v>
      </c>
      <c r="G50" s="17" t="s">
        <v>22</v>
      </c>
      <c r="H50" s="17">
        <v>2</v>
      </c>
      <c r="I50" s="19">
        <v>89.99</v>
      </c>
      <c r="J50" s="17" t="s">
        <v>29</v>
      </c>
      <c r="K50" s="17" t="s">
        <v>38</v>
      </c>
      <c r="L50" s="17" t="s">
        <v>30</v>
      </c>
      <c r="M50" s="18">
        <v>44471</v>
      </c>
      <c r="N50" s="19">
        <v>179.98</v>
      </c>
      <c r="O50" s="20">
        <f t="shared" si="0"/>
        <v>45444</v>
      </c>
      <c r="P50" s="21">
        <f t="shared" si="1"/>
        <v>2</v>
      </c>
      <c r="Q50" s="22">
        <f>IF(AND(OR(Analysis!$C$5="All",K50=Analysis!$C$5),OR(Analysis!$C$6="All",G50=Analysis!$C$6)),MAX(Q$1:Q49)+1,"")</f>
        <v>49</v>
      </c>
    </row>
    <row r="51" spans="1:17" ht="15.75" customHeight="1" x14ac:dyDescent="0.35">
      <c r="A51" s="17" t="s">
        <v>169</v>
      </c>
      <c r="B51" s="18">
        <v>45459</v>
      </c>
      <c r="C51" s="17" t="s">
        <v>18</v>
      </c>
      <c r="D51" s="17" t="s">
        <v>19</v>
      </c>
      <c r="E51" s="17" t="s">
        <v>64</v>
      </c>
      <c r="F51" s="17" t="s">
        <v>65</v>
      </c>
      <c r="G51" s="17" t="s">
        <v>22</v>
      </c>
      <c r="H51" s="17">
        <v>5</v>
      </c>
      <c r="I51" s="19">
        <v>899.99</v>
      </c>
      <c r="J51" s="17" t="s">
        <v>29</v>
      </c>
      <c r="K51" s="17" t="s">
        <v>38</v>
      </c>
      <c r="L51" s="17" t="s">
        <v>39</v>
      </c>
      <c r="M51" s="18">
        <v>44974</v>
      </c>
      <c r="N51" s="19">
        <v>4499.95</v>
      </c>
      <c r="O51" s="20">
        <f t="shared" si="0"/>
        <v>45444</v>
      </c>
      <c r="P51" s="21">
        <f t="shared" si="1"/>
        <v>1</v>
      </c>
      <c r="Q51" s="22">
        <f>IF(AND(OR(Analysis!$C$5="All",K51=Analysis!$C$5),OR(Analysis!$C$6="All",G51=Analysis!$C$6)),MAX(Q$1:Q50)+1,"")</f>
        <v>50</v>
      </c>
    </row>
    <row r="52" spans="1:17" ht="15.75" customHeight="1" x14ac:dyDescent="0.35">
      <c r="A52" s="17" t="s">
        <v>170</v>
      </c>
      <c r="B52" s="18">
        <v>45459</v>
      </c>
      <c r="C52" s="17" t="s">
        <v>126</v>
      </c>
      <c r="D52" s="17" t="s">
        <v>127</v>
      </c>
      <c r="E52" s="17" t="s">
        <v>64</v>
      </c>
      <c r="F52" s="17" t="s">
        <v>65</v>
      </c>
      <c r="G52" s="17" t="s">
        <v>22</v>
      </c>
      <c r="H52" s="17">
        <v>5</v>
      </c>
      <c r="I52" s="19">
        <v>899.99</v>
      </c>
      <c r="J52" s="17" t="s">
        <v>37</v>
      </c>
      <c r="K52" s="17" t="s">
        <v>66</v>
      </c>
      <c r="L52" s="17" t="s">
        <v>30</v>
      </c>
      <c r="M52" s="18">
        <v>45278</v>
      </c>
      <c r="N52" s="19">
        <v>4499.95</v>
      </c>
      <c r="O52" s="20">
        <f t="shared" si="0"/>
        <v>45444</v>
      </c>
      <c r="P52" s="21">
        <f t="shared" si="1"/>
        <v>0</v>
      </c>
      <c r="Q52" s="22">
        <f>IF(AND(OR(Analysis!$C$5="All",K52=Analysis!$C$5),OR(Analysis!$C$6="All",G52=Analysis!$C$6)),MAX(Q$1:Q51)+1,"")</f>
        <v>51</v>
      </c>
    </row>
    <row r="53" spans="1:17" ht="15.75" customHeight="1" x14ac:dyDescent="0.35">
      <c r="A53" s="17" t="s">
        <v>171</v>
      </c>
      <c r="B53" s="18">
        <v>45460</v>
      </c>
      <c r="C53" s="17" t="s">
        <v>161</v>
      </c>
      <c r="D53" s="17" t="s">
        <v>162</v>
      </c>
      <c r="E53" s="17" t="s">
        <v>34</v>
      </c>
      <c r="F53" s="17" t="s">
        <v>35</v>
      </c>
      <c r="G53" s="17" t="s">
        <v>36</v>
      </c>
      <c r="H53" s="17">
        <v>1</v>
      </c>
      <c r="I53" s="19">
        <v>59.99</v>
      </c>
      <c r="J53" s="17" t="s">
        <v>60</v>
      </c>
      <c r="K53" s="17" t="s">
        <v>53</v>
      </c>
      <c r="L53" s="17" t="s">
        <v>30</v>
      </c>
      <c r="M53" s="18">
        <v>45190</v>
      </c>
      <c r="N53" s="19">
        <v>59.99</v>
      </c>
      <c r="O53" s="20">
        <f t="shared" si="0"/>
        <v>45444</v>
      </c>
      <c r="P53" s="21">
        <f t="shared" si="1"/>
        <v>0</v>
      </c>
      <c r="Q53" s="22">
        <f>IF(AND(OR(Analysis!$C$5="All",K53=Analysis!$C$5),OR(Analysis!$C$6="All",G53=Analysis!$C$6)),MAX(Q$1:Q52)+1,"")</f>
        <v>52</v>
      </c>
    </row>
    <row r="54" spans="1:17" ht="15.75" customHeight="1" x14ac:dyDescent="0.35">
      <c r="A54" s="17" t="s">
        <v>172</v>
      </c>
      <c r="B54" s="18">
        <v>45460</v>
      </c>
      <c r="C54" s="17" t="s">
        <v>144</v>
      </c>
      <c r="D54" s="17" t="s">
        <v>145</v>
      </c>
      <c r="E54" s="17" t="s">
        <v>108</v>
      </c>
      <c r="F54" s="17" t="s">
        <v>109</v>
      </c>
      <c r="G54" s="17" t="s">
        <v>49</v>
      </c>
      <c r="H54" s="17">
        <v>2</v>
      </c>
      <c r="I54" s="19">
        <v>299.99</v>
      </c>
      <c r="J54" s="17" t="s">
        <v>60</v>
      </c>
      <c r="K54" s="17" t="s">
        <v>66</v>
      </c>
      <c r="L54" s="17" t="s">
        <v>39</v>
      </c>
      <c r="M54" s="18">
        <v>45253</v>
      </c>
      <c r="N54" s="19">
        <v>599.98</v>
      </c>
      <c r="O54" s="20">
        <f t="shared" si="0"/>
        <v>45444</v>
      </c>
      <c r="P54" s="21">
        <f t="shared" si="1"/>
        <v>0</v>
      </c>
      <c r="Q54" s="22">
        <f>IF(AND(OR(Analysis!$C$5="All",K54=Analysis!$C$5),OR(Analysis!$C$6="All",G54=Analysis!$C$6)),MAX(Q$1:Q53)+1,"")</f>
        <v>53</v>
      </c>
    </row>
    <row r="55" spans="1:17" ht="15.75" customHeight="1" x14ac:dyDescent="0.35">
      <c r="A55" s="17" t="s">
        <v>173</v>
      </c>
      <c r="B55" s="18">
        <v>45468</v>
      </c>
      <c r="C55" s="17" t="s">
        <v>174</v>
      </c>
      <c r="D55" s="17" t="s">
        <v>175</v>
      </c>
      <c r="E55" s="17" t="s">
        <v>120</v>
      </c>
      <c r="F55" s="17" t="s">
        <v>121</v>
      </c>
      <c r="G55" s="17" t="s">
        <v>22</v>
      </c>
      <c r="H55" s="17">
        <v>4</v>
      </c>
      <c r="I55" s="19">
        <v>89.99</v>
      </c>
      <c r="J55" s="17" t="s">
        <v>60</v>
      </c>
      <c r="K55" s="17" t="s">
        <v>38</v>
      </c>
      <c r="L55" s="17" t="s">
        <v>25</v>
      </c>
      <c r="M55" s="18">
        <v>45281</v>
      </c>
      <c r="N55" s="19">
        <v>359.96</v>
      </c>
      <c r="O55" s="20">
        <f t="shared" si="0"/>
        <v>45444</v>
      </c>
      <c r="P55" s="21">
        <f t="shared" si="1"/>
        <v>0</v>
      </c>
      <c r="Q55" s="22">
        <f>IF(AND(OR(Analysis!$C$5="All",K55=Analysis!$C$5),OR(Analysis!$C$6="All",G55=Analysis!$C$6)),MAX(Q$1:Q54)+1,"")</f>
        <v>54</v>
      </c>
    </row>
    <row r="56" spans="1:17" ht="15.75" customHeight="1" x14ac:dyDescent="0.35">
      <c r="A56" s="17" t="s">
        <v>176</v>
      </c>
      <c r="B56" s="18">
        <v>45469</v>
      </c>
      <c r="C56" s="17" t="s">
        <v>32</v>
      </c>
      <c r="D56" s="17" t="s">
        <v>33</v>
      </c>
      <c r="E56" s="17" t="s">
        <v>117</v>
      </c>
      <c r="F56" s="17" t="s">
        <v>118</v>
      </c>
      <c r="G56" s="17" t="s">
        <v>36</v>
      </c>
      <c r="H56" s="17">
        <v>1</v>
      </c>
      <c r="I56" s="19">
        <v>79.989999999999995</v>
      </c>
      <c r="J56" s="17" t="s">
        <v>37</v>
      </c>
      <c r="K56" s="17" t="s">
        <v>24</v>
      </c>
      <c r="L56" s="17" t="s">
        <v>30</v>
      </c>
      <c r="M56" s="18">
        <v>45352</v>
      </c>
      <c r="N56" s="19">
        <v>79.989999999999995</v>
      </c>
      <c r="O56" s="20">
        <f t="shared" si="0"/>
        <v>45444</v>
      </c>
      <c r="P56" s="21">
        <f t="shared" si="1"/>
        <v>0</v>
      </c>
      <c r="Q56" s="22">
        <f>IF(AND(OR(Analysis!$C$5="All",K56=Analysis!$C$5),OR(Analysis!$C$6="All",G56=Analysis!$C$6)),MAX(Q$1:Q55)+1,"")</f>
        <v>55</v>
      </c>
    </row>
    <row r="57" spans="1:17" ht="15.75" customHeight="1" x14ac:dyDescent="0.35">
      <c r="A57" s="17" t="s">
        <v>177</v>
      </c>
      <c r="B57" s="18">
        <v>45469</v>
      </c>
      <c r="C57" s="17" t="s">
        <v>62</v>
      </c>
      <c r="D57" s="17" t="s">
        <v>63</v>
      </c>
      <c r="E57" s="17" t="s">
        <v>120</v>
      </c>
      <c r="F57" s="17" t="s">
        <v>121</v>
      </c>
      <c r="G57" s="17" t="s">
        <v>22</v>
      </c>
      <c r="H57" s="17">
        <v>2</v>
      </c>
      <c r="I57" s="19">
        <v>89.99</v>
      </c>
      <c r="J57" s="17" t="s">
        <v>23</v>
      </c>
      <c r="K57" s="17" t="s">
        <v>53</v>
      </c>
      <c r="L57" s="17" t="s">
        <v>25</v>
      </c>
      <c r="M57" s="18">
        <v>44438</v>
      </c>
      <c r="N57" s="19">
        <v>179.98</v>
      </c>
      <c r="O57" s="20">
        <f t="shared" si="0"/>
        <v>45444</v>
      </c>
      <c r="P57" s="21">
        <f t="shared" si="1"/>
        <v>2</v>
      </c>
      <c r="Q57" s="22">
        <f>IF(AND(OR(Analysis!$C$5="All",K57=Analysis!$C$5),OR(Analysis!$C$6="All",G57=Analysis!$C$6)),MAX(Q$1:Q56)+1,"")</f>
        <v>56</v>
      </c>
    </row>
    <row r="58" spans="1:17" ht="15.75" customHeight="1" x14ac:dyDescent="0.35">
      <c r="A58" s="17" t="s">
        <v>178</v>
      </c>
      <c r="B58" s="18">
        <v>45471</v>
      </c>
      <c r="C58" s="17" t="s">
        <v>41</v>
      </c>
      <c r="D58" s="17" t="s">
        <v>42</v>
      </c>
      <c r="E58" s="17" t="s">
        <v>83</v>
      </c>
      <c r="F58" s="17" t="s">
        <v>84</v>
      </c>
      <c r="G58" s="17" t="s">
        <v>22</v>
      </c>
      <c r="H58" s="17">
        <v>3</v>
      </c>
      <c r="I58" s="19">
        <v>699.99</v>
      </c>
      <c r="J58" s="17" t="s">
        <v>29</v>
      </c>
      <c r="K58" s="17" t="s">
        <v>66</v>
      </c>
      <c r="L58" s="17" t="s">
        <v>30</v>
      </c>
      <c r="M58" s="18">
        <v>45102</v>
      </c>
      <c r="N58" s="19">
        <v>2099.9699999999998</v>
      </c>
      <c r="O58" s="20">
        <f t="shared" si="0"/>
        <v>45444</v>
      </c>
      <c r="P58" s="21">
        <f t="shared" si="1"/>
        <v>1</v>
      </c>
      <c r="Q58" s="22">
        <f>IF(AND(OR(Analysis!$C$5="All",K58=Analysis!$C$5),OR(Analysis!$C$6="All",G58=Analysis!$C$6)),MAX(Q$1:Q57)+1,"")</f>
        <v>57</v>
      </c>
    </row>
    <row r="59" spans="1:17" ht="15.75" customHeight="1" x14ac:dyDescent="0.35">
      <c r="A59" s="17" t="s">
        <v>179</v>
      </c>
      <c r="B59" s="18">
        <v>45471</v>
      </c>
      <c r="C59" s="17" t="s">
        <v>102</v>
      </c>
      <c r="D59" s="17" t="s">
        <v>103</v>
      </c>
      <c r="E59" s="17" t="s">
        <v>64</v>
      </c>
      <c r="F59" s="17" t="s">
        <v>65</v>
      </c>
      <c r="G59" s="17" t="s">
        <v>22</v>
      </c>
      <c r="H59" s="17">
        <v>4</v>
      </c>
      <c r="I59" s="19">
        <v>899.99</v>
      </c>
      <c r="J59" s="17" t="s">
        <v>29</v>
      </c>
      <c r="K59" s="17" t="s">
        <v>66</v>
      </c>
      <c r="L59" s="17" t="s">
        <v>30</v>
      </c>
      <c r="M59" s="18">
        <v>44993</v>
      </c>
      <c r="N59" s="19">
        <v>3599.96</v>
      </c>
      <c r="O59" s="20">
        <f t="shared" si="0"/>
        <v>45444</v>
      </c>
      <c r="P59" s="21">
        <f t="shared" si="1"/>
        <v>1</v>
      </c>
      <c r="Q59" s="22">
        <f>IF(AND(OR(Analysis!$C$5="All",K59=Analysis!$C$5),OR(Analysis!$C$6="All",G59=Analysis!$C$6)),MAX(Q$1:Q58)+1,"")</f>
        <v>58</v>
      </c>
    </row>
    <row r="60" spans="1:17" ht="15.75" customHeight="1" x14ac:dyDescent="0.35">
      <c r="A60" s="17" t="s">
        <v>180</v>
      </c>
      <c r="B60" s="18">
        <v>45472</v>
      </c>
      <c r="C60" s="17" t="s">
        <v>123</v>
      </c>
      <c r="D60" s="17" t="s">
        <v>124</v>
      </c>
      <c r="E60" s="17" t="s">
        <v>47</v>
      </c>
      <c r="F60" s="17" t="s">
        <v>48</v>
      </c>
      <c r="G60" s="17" t="s">
        <v>49</v>
      </c>
      <c r="H60" s="17">
        <v>1</v>
      </c>
      <c r="I60" s="19">
        <v>149.99</v>
      </c>
      <c r="J60" s="17" t="s">
        <v>37</v>
      </c>
      <c r="K60" s="17" t="s">
        <v>66</v>
      </c>
      <c r="L60" s="17" t="s">
        <v>25</v>
      </c>
      <c r="M60" s="18">
        <v>44851</v>
      </c>
      <c r="N60" s="19">
        <v>149.99</v>
      </c>
      <c r="O60" s="20">
        <f t="shared" si="0"/>
        <v>45444</v>
      </c>
      <c r="P60" s="21">
        <f t="shared" si="1"/>
        <v>1</v>
      </c>
      <c r="Q60" s="22">
        <f>IF(AND(OR(Analysis!$C$5="All",K60=Analysis!$C$5),OR(Analysis!$C$6="All",G60=Analysis!$C$6)),MAX(Q$1:Q59)+1,"")</f>
        <v>59</v>
      </c>
    </row>
    <row r="61" spans="1:17" ht="15.75" customHeight="1" x14ac:dyDescent="0.35">
      <c r="A61" s="17" t="s">
        <v>181</v>
      </c>
      <c r="B61" s="18">
        <v>45474</v>
      </c>
      <c r="C61" s="17" t="s">
        <v>135</v>
      </c>
      <c r="D61" s="17" t="s">
        <v>136</v>
      </c>
      <c r="E61" s="17" t="s">
        <v>120</v>
      </c>
      <c r="F61" s="17" t="s">
        <v>121</v>
      </c>
      <c r="G61" s="17" t="s">
        <v>22</v>
      </c>
      <c r="H61" s="17">
        <v>2</v>
      </c>
      <c r="I61" s="19">
        <v>89.99</v>
      </c>
      <c r="J61" s="17" t="s">
        <v>37</v>
      </c>
      <c r="K61" s="17" t="s">
        <v>24</v>
      </c>
      <c r="L61" s="17" t="s">
        <v>30</v>
      </c>
      <c r="M61" s="18">
        <v>45275</v>
      </c>
      <c r="N61" s="19">
        <v>179.98</v>
      </c>
      <c r="O61" s="20">
        <f t="shared" si="0"/>
        <v>45474</v>
      </c>
      <c r="P61" s="21">
        <f t="shared" si="1"/>
        <v>0</v>
      </c>
      <c r="Q61" s="22">
        <f>IF(AND(OR(Analysis!$C$5="All",K61=Analysis!$C$5),OR(Analysis!$C$6="All",G61=Analysis!$C$6)),MAX(Q$1:Q60)+1,"")</f>
        <v>60</v>
      </c>
    </row>
    <row r="62" spans="1:17" ht="15.75" customHeight="1" x14ac:dyDescent="0.35">
      <c r="A62" s="17" t="s">
        <v>182</v>
      </c>
      <c r="B62" s="18">
        <v>45475</v>
      </c>
      <c r="C62" s="17" t="s">
        <v>58</v>
      </c>
      <c r="D62" s="17" t="s">
        <v>59</v>
      </c>
      <c r="E62" s="17" t="s">
        <v>120</v>
      </c>
      <c r="F62" s="17" t="s">
        <v>121</v>
      </c>
      <c r="G62" s="17" t="s">
        <v>22</v>
      </c>
      <c r="H62" s="17">
        <v>1</v>
      </c>
      <c r="I62" s="19">
        <v>89.99</v>
      </c>
      <c r="J62" s="17" t="s">
        <v>37</v>
      </c>
      <c r="K62" s="17" t="s">
        <v>53</v>
      </c>
      <c r="L62" s="17" t="s">
        <v>39</v>
      </c>
      <c r="M62" s="18">
        <v>44802</v>
      </c>
      <c r="N62" s="19">
        <v>89.99</v>
      </c>
      <c r="O62" s="20">
        <f t="shared" si="0"/>
        <v>45474</v>
      </c>
      <c r="P62" s="21">
        <f t="shared" si="1"/>
        <v>1</v>
      </c>
      <c r="Q62" s="22">
        <f>IF(AND(OR(Analysis!$C$5="All",K62=Analysis!$C$5),OR(Analysis!$C$6="All",G62=Analysis!$C$6)),MAX(Q$1:Q61)+1,"")</f>
        <v>61</v>
      </c>
    </row>
    <row r="63" spans="1:17" ht="15.75" customHeight="1" x14ac:dyDescent="0.35">
      <c r="A63" s="17" t="s">
        <v>183</v>
      </c>
      <c r="B63" s="18">
        <v>45476</v>
      </c>
      <c r="C63" s="17" t="s">
        <v>71</v>
      </c>
      <c r="D63" s="17" t="s">
        <v>72</v>
      </c>
      <c r="E63" s="17" t="s">
        <v>120</v>
      </c>
      <c r="F63" s="17" t="s">
        <v>121</v>
      </c>
      <c r="G63" s="17" t="s">
        <v>22</v>
      </c>
      <c r="H63" s="17">
        <v>1</v>
      </c>
      <c r="I63" s="19">
        <v>89.99</v>
      </c>
      <c r="J63" s="17" t="s">
        <v>23</v>
      </c>
      <c r="K63" s="17" t="s">
        <v>38</v>
      </c>
      <c r="L63" s="17" t="s">
        <v>39</v>
      </c>
      <c r="M63" s="18">
        <v>44611</v>
      </c>
      <c r="N63" s="19">
        <v>89.99</v>
      </c>
      <c r="O63" s="20">
        <f t="shared" si="0"/>
        <v>45474</v>
      </c>
      <c r="P63" s="21">
        <f t="shared" si="1"/>
        <v>2</v>
      </c>
      <c r="Q63" s="22">
        <f>IF(AND(OR(Analysis!$C$5="All",K63=Analysis!$C$5),OR(Analysis!$C$6="All",G63=Analysis!$C$6)),MAX(Q$1:Q62)+1,"")</f>
        <v>62</v>
      </c>
    </row>
    <row r="64" spans="1:17" ht="15.75" customHeight="1" x14ac:dyDescent="0.35">
      <c r="A64" s="17" t="s">
        <v>184</v>
      </c>
      <c r="B64" s="18">
        <v>45476</v>
      </c>
      <c r="C64" s="17" t="s">
        <v>185</v>
      </c>
      <c r="D64" s="17" t="s">
        <v>186</v>
      </c>
      <c r="E64" s="17" t="s">
        <v>117</v>
      </c>
      <c r="F64" s="17" t="s">
        <v>118</v>
      </c>
      <c r="G64" s="17" t="s">
        <v>36</v>
      </c>
      <c r="H64" s="17">
        <v>5</v>
      </c>
      <c r="I64" s="19">
        <v>79.989999999999995</v>
      </c>
      <c r="J64" s="17" t="s">
        <v>60</v>
      </c>
      <c r="K64" s="17" t="s">
        <v>24</v>
      </c>
      <c r="L64" s="17" t="s">
        <v>25</v>
      </c>
      <c r="M64" s="18">
        <v>44981</v>
      </c>
      <c r="N64" s="19">
        <v>399.95</v>
      </c>
      <c r="O64" s="20">
        <f t="shared" si="0"/>
        <v>45474</v>
      </c>
      <c r="P64" s="21">
        <f t="shared" si="1"/>
        <v>1</v>
      </c>
      <c r="Q64" s="22">
        <f>IF(AND(OR(Analysis!$C$5="All",K64=Analysis!$C$5),OR(Analysis!$C$6="All",G64=Analysis!$C$6)),MAX(Q$1:Q63)+1,"")</f>
        <v>63</v>
      </c>
    </row>
    <row r="65" spans="1:17" ht="15.75" customHeight="1" x14ac:dyDescent="0.35">
      <c r="A65" s="17" t="s">
        <v>187</v>
      </c>
      <c r="B65" s="18">
        <v>45481</v>
      </c>
      <c r="C65" s="17" t="s">
        <v>188</v>
      </c>
      <c r="D65" s="17" t="s">
        <v>189</v>
      </c>
      <c r="E65" s="17" t="s">
        <v>47</v>
      </c>
      <c r="F65" s="17" t="s">
        <v>48</v>
      </c>
      <c r="G65" s="17" t="s">
        <v>49</v>
      </c>
      <c r="H65" s="17">
        <v>1</v>
      </c>
      <c r="I65" s="19">
        <v>149.99</v>
      </c>
      <c r="J65" s="17" t="s">
        <v>37</v>
      </c>
      <c r="K65" s="17" t="s">
        <v>43</v>
      </c>
      <c r="L65" s="17" t="s">
        <v>25</v>
      </c>
      <c r="M65" s="18">
        <v>44421</v>
      </c>
      <c r="N65" s="19">
        <v>149.99</v>
      </c>
      <c r="O65" s="20">
        <f t="shared" si="0"/>
        <v>45474</v>
      </c>
      <c r="P65" s="21">
        <f t="shared" si="1"/>
        <v>2</v>
      </c>
      <c r="Q65" s="22">
        <f>IF(AND(OR(Analysis!$C$5="All",K65=Analysis!$C$5),OR(Analysis!$C$6="All",G65=Analysis!$C$6)),MAX(Q$1:Q64)+1,"")</f>
        <v>64</v>
      </c>
    </row>
    <row r="66" spans="1:17" ht="15.75" customHeight="1" x14ac:dyDescent="0.35">
      <c r="A66" s="17" t="s">
        <v>190</v>
      </c>
      <c r="B66" s="18">
        <v>45481</v>
      </c>
      <c r="C66" s="17" t="s">
        <v>45</v>
      </c>
      <c r="D66" s="17" t="s">
        <v>46</v>
      </c>
      <c r="E66" s="17" t="s">
        <v>83</v>
      </c>
      <c r="F66" s="17" t="s">
        <v>84</v>
      </c>
      <c r="G66" s="17" t="s">
        <v>22</v>
      </c>
      <c r="H66" s="17">
        <v>2</v>
      </c>
      <c r="I66" s="19">
        <v>699.99</v>
      </c>
      <c r="J66" s="17" t="s">
        <v>37</v>
      </c>
      <c r="K66" s="17" t="s">
        <v>66</v>
      </c>
      <c r="L66" s="17" t="s">
        <v>30</v>
      </c>
      <c r="M66" s="18">
        <v>45389</v>
      </c>
      <c r="N66" s="19">
        <v>1399.98</v>
      </c>
      <c r="O66" s="20">
        <f t="shared" ref="O66:O129" si="2">DATE(YEAR(B66),MONTH(B66),1)</f>
        <v>45474</v>
      </c>
      <c r="P66" s="21">
        <f t="shared" ref="P66:P129" si="3">DATEDIF(M66,B66,"Y")</f>
        <v>0</v>
      </c>
      <c r="Q66" s="22">
        <f>IF(AND(OR(Analysis!$C$5="All",K66=Analysis!$C$5),OR(Analysis!$C$6="All",G66=Analysis!$C$6)),MAX(Q$1:Q65)+1,"")</f>
        <v>65</v>
      </c>
    </row>
    <row r="67" spans="1:17" ht="15.75" customHeight="1" x14ac:dyDescent="0.35">
      <c r="A67" s="17" t="s">
        <v>191</v>
      </c>
      <c r="B67" s="18">
        <v>45481</v>
      </c>
      <c r="C67" s="17" t="s">
        <v>99</v>
      </c>
      <c r="D67" s="17" t="s">
        <v>100</v>
      </c>
      <c r="E67" s="17" t="s">
        <v>120</v>
      </c>
      <c r="F67" s="17" t="s">
        <v>121</v>
      </c>
      <c r="G67" s="17" t="s">
        <v>22</v>
      </c>
      <c r="H67" s="17">
        <v>5</v>
      </c>
      <c r="I67" s="19">
        <v>89.99</v>
      </c>
      <c r="J67" s="17" t="s">
        <v>60</v>
      </c>
      <c r="K67" s="17" t="s">
        <v>43</v>
      </c>
      <c r="L67" s="17" t="s">
        <v>30</v>
      </c>
      <c r="M67" s="18">
        <v>45161</v>
      </c>
      <c r="N67" s="19">
        <v>449.95</v>
      </c>
      <c r="O67" s="20">
        <f t="shared" si="2"/>
        <v>45474</v>
      </c>
      <c r="P67" s="21">
        <f t="shared" si="3"/>
        <v>0</v>
      </c>
      <c r="Q67" s="22">
        <f>IF(AND(OR(Analysis!$C$5="All",K67=Analysis!$C$5),OR(Analysis!$C$6="All",G67=Analysis!$C$6)),MAX(Q$1:Q66)+1,"")</f>
        <v>66</v>
      </c>
    </row>
    <row r="68" spans="1:17" ht="15.75" customHeight="1" x14ac:dyDescent="0.35">
      <c r="A68" s="17" t="s">
        <v>192</v>
      </c>
      <c r="B68" s="18">
        <v>45482</v>
      </c>
      <c r="C68" s="17" t="s">
        <v>174</v>
      </c>
      <c r="D68" s="17" t="s">
        <v>175</v>
      </c>
      <c r="E68" s="17" t="s">
        <v>34</v>
      </c>
      <c r="F68" s="17" t="s">
        <v>35</v>
      </c>
      <c r="G68" s="17" t="s">
        <v>36</v>
      </c>
      <c r="H68" s="17">
        <v>4</v>
      </c>
      <c r="I68" s="19">
        <v>59.99</v>
      </c>
      <c r="J68" s="17" t="s">
        <v>23</v>
      </c>
      <c r="K68" s="17" t="s">
        <v>38</v>
      </c>
      <c r="L68" s="17" t="s">
        <v>39</v>
      </c>
      <c r="M68" s="18">
        <v>44509</v>
      </c>
      <c r="N68" s="19">
        <v>239.96</v>
      </c>
      <c r="O68" s="20">
        <f t="shared" si="2"/>
        <v>45474</v>
      </c>
      <c r="P68" s="21">
        <f t="shared" si="3"/>
        <v>2</v>
      </c>
      <c r="Q68" s="22">
        <f>IF(AND(OR(Analysis!$C$5="All",K68=Analysis!$C$5),OR(Analysis!$C$6="All",G68=Analysis!$C$6)),MAX(Q$1:Q67)+1,"")</f>
        <v>67</v>
      </c>
    </row>
    <row r="69" spans="1:17" ht="15.75" customHeight="1" x14ac:dyDescent="0.35">
      <c r="A69" s="17" t="s">
        <v>193</v>
      </c>
      <c r="B69" s="18">
        <v>45484</v>
      </c>
      <c r="C69" s="17" t="s">
        <v>27</v>
      </c>
      <c r="D69" s="17" t="s">
        <v>28</v>
      </c>
      <c r="E69" s="17" t="s">
        <v>55</v>
      </c>
      <c r="F69" s="17" t="s">
        <v>56</v>
      </c>
      <c r="G69" s="17" t="s">
        <v>22</v>
      </c>
      <c r="H69" s="17">
        <v>1</v>
      </c>
      <c r="I69" s="19">
        <v>149.99</v>
      </c>
      <c r="J69" s="17" t="s">
        <v>23</v>
      </c>
      <c r="K69" s="17" t="s">
        <v>24</v>
      </c>
      <c r="L69" s="17" t="s">
        <v>39</v>
      </c>
      <c r="M69" s="18">
        <v>44909</v>
      </c>
      <c r="N69" s="19">
        <v>149.99</v>
      </c>
      <c r="O69" s="20">
        <f t="shared" si="2"/>
        <v>45474</v>
      </c>
      <c r="P69" s="21">
        <f t="shared" si="3"/>
        <v>1</v>
      </c>
      <c r="Q69" s="22">
        <f>IF(AND(OR(Analysis!$C$5="All",K69=Analysis!$C$5),OR(Analysis!$C$6="All",G69=Analysis!$C$6)),MAX(Q$1:Q68)+1,"")</f>
        <v>68</v>
      </c>
    </row>
    <row r="70" spans="1:17" ht="15.75" customHeight="1" x14ac:dyDescent="0.35">
      <c r="A70" s="17" t="s">
        <v>194</v>
      </c>
      <c r="B70" s="18">
        <v>45484</v>
      </c>
      <c r="C70" s="17" t="s">
        <v>195</v>
      </c>
      <c r="D70" s="17" t="s">
        <v>196</v>
      </c>
      <c r="E70" s="17" t="s">
        <v>108</v>
      </c>
      <c r="F70" s="17" t="s">
        <v>109</v>
      </c>
      <c r="G70" s="17" t="s">
        <v>49</v>
      </c>
      <c r="H70" s="17">
        <v>1</v>
      </c>
      <c r="I70" s="19">
        <v>299.99</v>
      </c>
      <c r="J70" s="17" t="s">
        <v>29</v>
      </c>
      <c r="K70" s="17" t="s">
        <v>43</v>
      </c>
      <c r="L70" s="17" t="s">
        <v>30</v>
      </c>
      <c r="M70" s="18">
        <v>44891</v>
      </c>
      <c r="N70" s="19">
        <v>299.99</v>
      </c>
      <c r="O70" s="20">
        <f t="shared" si="2"/>
        <v>45474</v>
      </c>
      <c r="P70" s="21">
        <f t="shared" si="3"/>
        <v>1</v>
      </c>
      <c r="Q70" s="22">
        <f>IF(AND(OR(Analysis!$C$5="All",K70=Analysis!$C$5),OR(Analysis!$C$6="All",G70=Analysis!$C$6)),MAX(Q$1:Q69)+1,"")</f>
        <v>69</v>
      </c>
    </row>
    <row r="71" spans="1:17" ht="15.75" customHeight="1" x14ac:dyDescent="0.35">
      <c r="A71" s="17" t="s">
        <v>197</v>
      </c>
      <c r="B71" s="18">
        <v>45487</v>
      </c>
      <c r="C71" s="17" t="s">
        <v>195</v>
      </c>
      <c r="D71" s="17" t="s">
        <v>196</v>
      </c>
      <c r="E71" s="17" t="s">
        <v>129</v>
      </c>
      <c r="F71" s="17" t="s">
        <v>130</v>
      </c>
      <c r="G71" s="17" t="s">
        <v>49</v>
      </c>
      <c r="H71" s="17">
        <v>2</v>
      </c>
      <c r="I71" s="19">
        <v>199.99</v>
      </c>
      <c r="J71" s="17" t="s">
        <v>23</v>
      </c>
      <c r="K71" s="17" t="s">
        <v>43</v>
      </c>
      <c r="L71" s="17" t="s">
        <v>25</v>
      </c>
      <c r="M71" s="18">
        <v>44541</v>
      </c>
      <c r="N71" s="19">
        <v>399.98</v>
      </c>
      <c r="O71" s="20">
        <f t="shared" si="2"/>
        <v>45474</v>
      </c>
      <c r="P71" s="21">
        <f t="shared" si="3"/>
        <v>2</v>
      </c>
      <c r="Q71" s="22">
        <f>IF(AND(OR(Analysis!$C$5="All",K71=Analysis!$C$5),OR(Analysis!$C$6="All",G71=Analysis!$C$6)),MAX(Q$1:Q70)+1,"")</f>
        <v>70</v>
      </c>
    </row>
    <row r="72" spans="1:17" ht="15.75" customHeight="1" x14ac:dyDescent="0.35">
      <c r="A72" s="17" t="s">
        <v>198</v>
      </c>
      <c r="B72" s="18">
        <v>45490</v>
      </c>
      <c r="C72" s="17" t="s">
        <v>199</v>
      </c>
      <c r="D72" s="17" t="s">
        <v>200</v>
      </c>
      <c r="E72" s="17" t="s">
        <v>34</v>
      </c>
      <c r="F72" s="17" t="s">
        <v>35</v>
      </c>
      <c r="G72" s="17" t="s">
        <v>36</v>
      </c>
      <c r="H72" s="17">
        <v>3</v>
      </c>
      <c r="I72" s="19">
        <v>59.99</v>
      </c>
      <c r="J72" s="17" t="s">
        <v>29</v>
      </c>
      <c r="K72" s="17" t="s">
        <v>53</v>
      </c>
      <c r="L72" s="17" t="s">
        <v>25</v>
      </c>
      <c r="M72" s="18">
        <v>45130</v>
      </c>
      <c r="N72" s="19">
        <v>179.97</v>
      </c>
      <c r="O72" s="20">
        <f t="shared" si="2"/>
        <v>45474</v>
      </c>
      <c r="P72" s="21">
        <f t="shared" si="3"/>
        <v>0</v>
      </c>
      <c r="Q72" s="22">
        <f>IF(AND(OR(Analysis!$C$5="All",K72=Analysis!$C$5),OR(Analysis!$C$6="All",G72=Analysis!$C$6)),MAX(Q$1:Q71)+1,"")</f>
        <v>71</v>
      </c>
    </row>
    <row r="73" spans="1:17" ht="15.75" customHeight="1" x14ac:dyDescent="0.35">
      <c r="A73" s="17" t="s">
        <v>201</v>
      </c>
      <c r="B73" s="18">
        <v>45490</v>
      </c>
      <c r="C73" s="17" t="s">
        <v>75</v>
      </c>
      <c r="D73" s="17" t="s">
        <v>76</v>
      </c>
      <c r="E73" s="17" t="s">
        <v>47</v>
      </c>
      <c r="F73" s="17" t="s">
        <v>48</v>
      </c>
      <c r="G73" s="17" t="s">
        <v>49</v>
      </c>
      <c r="H73" s="17">
        <v>3</v>
      </c>
      <c r="I73" s="19">
        <v>149.99</v>
      </c>
      <c r="J73" s="17" t="s">
        <v>23</v>
      </c>
      <c r="K73" s="17" t="s">
        <v>24</v>
      </c>
      <c r="L73" s="17" t="s">
        <v>30</v>
      </c>
      <c r="M73" s="18">
        <v>45199</v>
      </c>
      <c r="N73" s="19">
        <v>449.97</v>
      </c>
      <c r="O73" s="20">
        <f t="shared" si="2"/>
        <v>45474</v>
      </c>
      <c r="P73" s="21">
        <f t="shared" si="3"/>
        <v>0</v>
      </c>
      <c r="Q73" s="22">
        <f>IF(AND(OR(Analysis!$C$5="All",K73=Analysis!$C$5),OR(Analysis!$C$6="All",G73=Analysis!$C$6)),MAX(Q$1:Q72)+1,"")</f>
        <v>72</v>
      </c>
    </row>
    <row r="74" spans="1:17" ht="15.75" customHeight="1" x14ac:dyDescent="0.35">
      <c r="A74" s="17" t="s">
        <v>202</v>
      </c>
      <c r="B74" s="18">
        <v>45491</v>
      </c>
      <c r="C74" s="17" t="s">
        <v>68</v>
      </c>
      <c r="D74" s="17" t="s">
        <v>69</v>
      </c>
      <c r="E74" s="17" t="s">
        <v>129</v>
      </c>
      <c r="F74" s="17" t="s">
        <v>130</v>
      </c>
      <c r="G74" s="17" t="s">
        <v>49</v>
      </c>
      <c r="H74" s="17">
        <v>3</v>
      </c>
      <c r="I74" s="19">
        <v>199.99</v>
      </c>
      <c r="J74" s="17" t="s">
        <v>23</v>
      </c>
      <c r="K74" s="17" t="s">
        <v>43</v>
      </c>
      <c r="L74" s="17" t="s">
        <v>30</v>
      </c>
      <c r="M74" s="18">
        <v>45254</v>
      </c>
      <c r="N74" s="19">
        <v>599.97</v>
      </c>
      <c r="O74" s="20">
        <f t="shared" si="2"/>
        <v>45474</v>
      </c>
      <c r="P74" s="21">
        <f t="shared" si="3"/>
        <v>0</v>
      </c>
      <c r="Q74" s="22">
        <f>IF(AND(OR(Analysis!$C$5="All",K74=Analysis!$C$5),OR(Analysis!$C$6="All",G74=Analysis!$C$6)),MAX(Q$1:Q73)+1,"")</f>
        <v>73</v>
      </c>
    </row>
    <row r="75" spans="1:17" ht="15.75" customHeight="1" x14ac:dyDescent="0.35">
      <c r="A75" s="17" t="s">
        <v>203</v>
      </c>
      <c r="B75" s="18">
        <v>45496</v>
      </c>
      <c r="C75" s="17" t="s">
        <v>153</v>
      </c>
      <c r="D75" s="17" t="s">
        <v>154</v>
      </c>
      <c r="E75" s="17" t="s">
        <v>64</v>
      </c>
      <c r="F75" s="17" t="s">
        <v>65</v>
      </c>
      <c r="G75" s="17" t="s">
        <v>22</v>
      </c>
      <c r="H75" s="17">
        <v>1</v>
      </c>
      <c r="I75" s="19">
        <v>899.99</v>
      </c>
      <c r="J75" s="17" t="s">
        <v>23</v>
      </c>
      <c r="K75" s="17" t="s">
        <v>24</v>
      </c>
      <c r="L75" s="17" t="s">
        <v>39</v>
      </c>
      <c r="M75" s="18">
        <v>45179</v>
      </c>
      <c r="N75" s="19">
        <v>899.99</v>
      </c>
      <c r="O75" s="20">
        <f t="shared" si="2"/>
        <v>45474</v>
      </c>
      <c r="P75" s="21">
        <f t="shared" si="3"/>
        <v>0</v>
      </c>
      <c r="Q75" s="22">
        <f>IF(AND(OR(Analysis!$C$5="All",K75=Analysis!$C$5),OR(Analysis!$C$6="All",G75=Analysis!$C$6)),MAX(Q$1:Q74)+1,"")</f>
        <v>74</v>
      </c>
    </row>
    <row r="76" spans="1:17" ht="15.75" customHeight="1" x14ac:dyDescent="0.35">
      <c r="A76" s="17" t="s">
        <v>204</v>
      </c>
      <c r="B76" s="18">
        <v>45497</v>
      </c>
      <c r="C76" s="17" t="s">
        <v>27</v>
      </c>
      <c r="D76" s="17" t="s">
        <v>28</v>
      </c>
      <c r="E76" s="17" t="s">
        <v>64</v>
      </c>
      <c r="F76" s="17" t="s">
        <v>65</v>
      </c>
      <c r="G76" s="17" t="s">
        <v>22</v>
      </c>
      <c r="H76" s="17">
        <v>5</v>
      </c>
      <c r="I76" s="19">
        <v>899.99</v>
      </c>
      <c r="J76" s="17" t="s">
        <v>60</v>
      </c>
      <c r="K76" s="17" t="s">
        <v>38</v>
      </c>
      <c r="L76" s="17" t="s">
        <v>39</v>
      </c>
      <c r="M76" s="18">
        <v>44899</v>
      </c>
      <c r="N76" s="19">
        <v>4499.95</v>
      </c>
      <c r="O76" s="20">
        <f t="shared" si="2"/>
        <v>45474</v>
      </c>
      <c r="P76" s="21">
        <f t="shared" si="3"/>
        <v>1</v>
      </c>
      <c r="Q76" s="22">
        <f>IF(AND(OR(Analysis!$C$5="All",K76=Analysis!$C$5),OR(Analysis!$C$6="All",G76=Analysis!$C$6)),MAX(Q$1:Q75)+1,"")</f>
        <v>75</v>
      </c>
    </row>
    <row r="77" spans="1:17" ht="15.75" customHeight="1" x14ac:dyDescent="0.35">
      <c r="A77" s="17" t="s">
        <v>205</v>
      </c>
      <c r="B77" s="18">
        <v>45498</v>
      </c>
      <c r="C77" s="17" t="s">
        <v>185</v>
      </c>
      <c r="D77" s="17" t="s">
        <v>186</v>
      </c>
      <c r="E77" s="17" t="s">
        <v>34</v>
      </c>
      <c r="F77" s="17" t="s">
        <v>35</v>
      </c>
      <c r="G77" s="17" t="s">
        <v>36</v>
      </c>
      <c r="H77" s="17">
        <v>2</v>
      </c>
      <c r="I77" s="19">
        <v>59.99</v>
      </c>
      <c r="J77" s="17" t="s">
        <v>23</v>
      </c>
      <c r="K77" s="17" t="s">
        <v>43</v>
      </c>
      <c r="L77" s="17" t="s">
        <v>39</v>
      </c>
      <c r="M77" s="18">
        <v>45152</v>
      </c>
      <c r="N77" s="19">
        <v>119.98</v>
      </c>
      <c r="O77" s="20">
        <f t="shared" si="2"/>
        <v>45474</v>
      </c>
      <c r="P77" s="21">
        <f t="shared" si="3"/>
        <v>0</v>
      </c>
      <c r="Q77" s="22">
        <f>IF(AND(OR(Analysis!$C$5="All",K77=Analysis!$C$5),OR(Analysis!$C$6="All",G77=Analysis!$C$6)),MAX(Q$1:Q76)+1,"")</f>
        <v>76</v>
      </c>
    </row>
    <row r="78" spans="1:17" ht="15.75" customHeight="1" x14ac:dyDescent="0.35">
      <c r="A78" s="17" t="s">
        <v>206</v>
      </c>
      <c r="B78" s="18">
        <v>45498</v>
      </c>
      <c r="C78" s="17" t="s">
        <v>199</v>
      </c>
      <c r="D78" s="17" t="s">
        <v>200</v>
      </c>
      <c r="E78" s="17" t="s">
        <v>20</v>
      </c>
      <c r="F78" s="17" t="s">
        <v>21</v>
      </c>
      <c r="G78" s="17" t="s">
        <v>22</v>
      </c>
      <c r="H78" s="17">
        <v>4</v>
      </c>
      <c r="I78" s="19">
        <v>249.99</v>
      </c>
      <c r="J78" s="17" t="s">
        <v>60</v>
      </c>
      <c r="K78" s="17" t="s">
        <v>24</v>
      </c>
      <c r="L78" s="17" t="s">
        <v>39</v>
      </c>
      <c r="M78" s="18">
        <v>45127</v>
      </c>
      <c r="N78" s="19">
        <v>999.96</v>
      </c>
      <c r="O78" s="20">
        <f t="shared" si="2"/>
        <v>45474</v>
      </c>
      <c r="P78" s="21">
        <f t="shared" si="3"/>
        <v>1</v>
      </c>
      <c r="Q78" s="22">
        <f>IF(AND(OR(Analysis!$C$5="All",K78=Analysis!$C$5),OR(Analysis!$C$6="All",G78=Analysis!$C$6)),MAX(Q$1:Q77)+1,"")</f>
        <v>77</v>
      </c>
    </row>
    <row r="79" spans="1:17" ht="15.75" customHeight="1" x14ac:dyDescent="0.35">
      <c r="A79" s="17" t="s">
        <v>207</v>
      </c>
      <c r="B79" s="18">
        <v>45500</v>
      </c>
      <c r="C79" s="17" t="s">
        <v>99</v>
      </c>
      <c r="D79" s="17" t="s">
        <v>100</v>
      </c>
      <c r="E79" s="17" t="s">
        <v>20</v>
      </c>
      <c r="F79" s="17" t="s">
        <v>21</v>
      </c>
      <c r="G79" s="17" t="s">
        <v>22</v>
      </c>
      <c r="H79" s="17">
        <v>2</v>
      </c>
      <c r="I79" s="19">
        <v>249.99</v>
      </c>
      <c r="J79" s="17" t="s">
        <v>23</v>
      </c>
      <c r="K79" s="17" t="s">
        <v>43</v>
      </c>
      <c r="L79" s="17" t="s">
        <v>30</v>
      </c>
      <c r="M79" s="18">
        <v>45164</v>
      </c>
      <c r="N79" s="19">
        <v>499.98</v>
      </c>
      <c r="O79" s="20">
        <f t="shared" si="2"/>
        <v>45474</v>
      </c>
      <c r="P79" s="21">
        <f t="shared" si="3"/>
        <v>0</v>
      </c>
      <c r="Q79" s="22">
        <f>IF(AND(OR(Analysis!$C$5="All",K79=Analysis!$C$5),OR(Analysis!$C$6="All",G79=Analysis!$C$6)),MAX(Q$1:Q78)+1,"")</f>
        <v>78</v>
      </c>
    </row>
    <row r="80" spans="1:17" ht="15.75" customHeight="1" x14ac:dyDescent="0.35">
      <c r="A80" s="17" t="s">
        <v>208</v>
      </c>
      <c r="B80" s="18">
        <v>45500</v>
      </c>
      <c r="C80" s="17" t="s">
        <v>150</v>
      </c>
      <c r="D80" s="17" t="s">
        <v>151</v>
      </c>
      <c r="E80" s="17" t="s">
        <v>108</v>
      </c>
      <c r="F80" s="17" t="s">
        <v>109</v>
      </c>
      <c r="G80" s="17" t="s">
        <v>49</v>
      </c>
      <c r="H80" s="17">
        <v>1</v>
      </c>
      <c r="I80" s="19">
        <v>299.99</v>
      </c>
      <c r="J80" s="17" t="s">
        <v>23</v>
      </c>
      <c r="K80" s="17" t="s">
        <v>38</v>
      </c>
      <c r="L80" s="17" t="s">
        <v>25</v>
      </c>
      <c r="M80" s="18">
        <v>44982</v>
      </c>
      <c r="N80" s="19">
        <v>299.99</v>
      </c>
      <c r="O80" s="20">
        <f t="shared" si="2"/>
        <v>45474</v>
      </c>
      <c r="P80" s="21">
        <f t="shared" si="3"/>
        <v>1</v>
      </c>
      <c r="Q80" s="22">
        <f>IF(AND(OR(Analysis!$C$5="All",K80=Analysis!$C$5),OR(Analysis!$C$6="All",G80=Analysis!$C$6)),MAX(Q$1:Q79)+1,"")</f>
        <v>79</v>
      </c>
    </row>
    <row r="81" spans="1:17" ht="15.75" customHeight="1" x14ac:dyDescent="0.35">
      <c r="A81" s="17" t="s">
        <v>209</v>
      </c>
      <c r="B81" s="18">
        <v>45501</v>
      </c>
      <c r="C81" s="17" t="s">
        <v>89</v>
      </c>
      <c r="D81" s="17" t="s">
        <v>90</v>
      </c>
      <c r="E81" s="17" t="s">
        <v>120</v>
      </c>
      <c r="F81" s="17" t="s">
        <v>121</v>
      </c>
      <c r="G81" s="17" t="s">
        <v>22</v>
      </c>
      <c r="H81" s="17">
        <v>2</v>
      </c>
      <c r="I81" s="19">
        <v>89.99</v>
      </c>
      <c r="J81" s="17" t="s">
        <v>37</v>
      </c>
      <c r="K81" s="17" t="s">
        <v>38</v>
      </c>
      <c r="L81" s="17" t="s">
        <v>25</v>
      </c>
      <c r="M81" s="18">
        <v>44976</v>
      </c>
      <c r="N81" s="19">
        <v>179.98</v>
      </c>
      <c r="O81" s="20">
        <f t="shared" si="2"/>
        <v>45474</v>
      </c>
      <c r="P81" s="21">
        <f t="shared" si="3"/>
        <v>1</v>
      </c>
      <c r="Q81" s="22">
        <f>IF(AND(OR(Analysis!$C$5="All",K81=Analysis!$C$5),OR(Analysis!$C$6="All",G81=Analysis!$C$6)),MAX(Q$1:Q80)+1,"")</f>
        <v>80</v>
      </c>
    </row>
    <row r="82" spans="1:17" ht="15.75" customHeight="1" x14ac:dyDescent="0.35">
      <c r="A82" s="17" t="s">
        <v>210</v>
      </c>
      <c r="B82" s="18">
        <v>45501</v>
      </c>
      <c r="C82" s="17" t="s">
        <v>150</v>
      </c>
      <c r="D82" s="17" t="s">
        <v>151</v>
      </c>
      <c r="E82" s="17" t="s">
        <v>108</v>
      </c>
      <c r="F82" s="17" t="s">
        <v>109</v>
      </c>
      <c r="G82" s="17" t="s">
        <v>49</v>
      </c>
      <c r="H82" s="17">
        <v>3</v>
      </c>
      <c r="I82" s="19">
        <v>299.99</v>
      </c>
      <c r="J82" s="17" t="s">
        <v>23</v>
      </c>
      <c r="K82" s="17" t="s">
        <v>24</v>
      </c>
      <c r="L82" s="17" t="s">
        <v>25</v>
      </c>
      <c r="M82" s="18">
        <v>44732</v>
      </c>
      <c r="N82" s="19">
        <v>899.97</v>
      </c>
      <c r="O82" s="20">
        <f t="shared" si="2"/>
        <v>45474</v>
      </c>
      <c r="P82" s="21">
        <f t="shared" si="3"/>
        <v>2</v>
      </c>
      <c r="Q82" s="22">
        <f>IF(AND(OR(Analysis!$C$5="All",K82=Analysis!$C$5),OR(Analysis!$C$6="All",G82=Analysis!$C$6)),MAX(Q$1:Q81)+1,"")</f>
        <v>81</v>
      </c>
    </row>
    <row r="83" spans="1:17" ht="15.75" customHeight="1" x14ac:dyDescent="0.35">
      <c r="A83" s="17" t="s">
        <v>211</v>
      </c>
      <c r="B83" s="18">
        <v>45503</v>
      </c>
      <c r="C83" s="17" t="s">
        <v>89</v>
      </c>
      <c r="D83" s="17" t="s">
        <v>90</v>
      </c>
      <c r="E83" s="17" t="s">
        <v>83</v>
      </c>
      <c r="F83" s="17" t="s">
        <v>84</v>
      </c>
      <c r="G83" s="17" t="s">
        <v>22</v>
      </c>
      <c r="H83" s="17">
        <v>2</v>
      </c>
      <c r="I83" s="19">
        <v>699.99</v>
      </c>
      <c r="J83" s="17" t="s">
        <v>29</v>
      </c>
      <c r="K83" s="17" t="s">
        <v>43</v>
      </c>
      <c r="L83" s="17" t="s">
        <v>30</v>
      </c>
      <c r="M83" s="18">
        <v>44999</v>
      </c>
      <c r="N83" s="19">
        <v>1399.98</v>
      </c>
      <c r="O83" s="20">
        <f t="shared" si="2"/>
        <v>45474</v>
      </c>
      <c r="P83" s="21">
        <f t="shared" si="3"/>
        <v>1</v>
      </c>
      <c r="Q83" s="22">
        <f>IF(AND(OR(Analysis!$C$5="All",K83=Analysis!$C$5),OR(Analysis!$C$6="All",G83=Analysis!$C$6)),MAX(Q$1:Q82)+1,"")</f>
        <v>82</v>
      </c>
    </row>
    <row r="84" spans="1:17" ht="15.75" customHeight="1" x14ac:dyDescent="0.35">
      <c r="A84" s="17" t="s">
        <v>212</v>
      </c>
      <c r="B84" s="18">
        <v>45504</v>
      </c>
      <c r="C84" s="17" t="s">
        <v>123</v>
      </c>
      <c r="D84" s="17" t="s">
        <v>124</v>
      </c>
      <c r="E84" s="17" t="s">
        <v>64</v>
      </c>
      <c r="F84" s="17" t="s">
        <v>65</v>
      </c>
      <c r="G84" s="17" t="s">
        <v>22</v>
      </c>
      <c r="H84" s="17">
        <v>4</v>
      </c>
      <c r="I84" s="19">
        <v>899.99</v>
      </c>
      <c r="J84" s="17" t="s">
        <v>60</v>
      </c>
      <c r="K84" s="17" t="s">
        <v>38</v>
      </c>
      <c r="L84" s="17" t="s">
        <v>39</v>
      </c>
      <c r="M84" s="18">
        <v>44523</v>
      </c>
      <c r="N84" s="19">
        <v>3599.96</v>
      </c>
      <c r="O84" s="20">
        <f t="shared" si="2"/>
        <v>45474</v>
      </c>
      <c r="P84" s="21">
        <f t="shared" si="3"/>
        <v>2</v>
      </c>
      <c r="Q84" s="22">
        <f>IF(AND(OR(Analysis!$C$5="All",K84=Analysis!$C$5),OR(Analysis!$C$6="All",G84=Analysis!$C$6)),MAX(Q$1:Q83)+1,"")</f>
        <v>83</v>
      </c>
    </row>
    <row r="85" spans="1:17" ht="15.75" customHeight="1" x14ac:dyDescent="0.35">
      <c r="A85" s="17" t="s">
        <v>213</v>
      </c>
      <c r="B85" s="18">
        <v>45509</v>
      </c>
      <c r="C85" s="17" t="s">
        <v>214</v>
      </c>
      <c r="D85" s="17" t="s">
        <v>215</v>
      </c>
      <c r="E85" s="17" t="s">
        <v>47</v>
      </c>
      <c r="F85" s="17" t="s">
        <v>48</v>
      </c>
      <c r="G85" s="17" t="s">
        <v>49</v>
      </c>
      <c r="H85" s="17">
        <v>2</v>
      </c>
      <c r="I85" s="19">
        <v>149.99</v>
      </c>
      <c r="J85" s="17" t="s">
        <v>29</v>
      </c>
      <c r="K85" s="17" t="s">
        <v>53</v>
      </c>
      <c r="L85" s="17" t="s">
        <v>25</v>
      </c>
      <c r="M85" s="18">
        <v>44542</v>
      </c>
      <c r="N85" s="19">
        <v>299.98</v>
      </c>
      <c r="O85" s="20">
        <f t="shared" si="2"/>
        <v>45505</v>
      </c>
      <c r="P85" s="21">
        <f t="shared" si="3"/>
        <v>2</v>
      </c>
      <c r="Q85" s="22">
        <f>IF(AND(OR(Analysis!$C$5="All",K85=Analysis!$C$5),OR(Analysis!$C$6="All",G85=Analysis!$C$6)),MAX(Q$1:Q84)+1,"")</f>
        <v>84</v>
      </c>
    </row>
    <row r="86" spans="1:17" ht="15.75" customHeight="1" x14ac:dyDescent="0.35">
      <c r="A86" s="17" t="s">
        <v>216</v>
      </c>
      <c r="B86" s="18">
        <v>45510</v>
      </c>
      <c r="C86" s="17" t="s">
        <v>105</v>
      </c>
      <c r="D86" s="17" t="s">
        <v>106</v>
      </c>
      <c r="E86" s="17" t="s">
        <v>47</v>
      </c>
      <c r="F86" s="17" t="s">
        <v>48</v>
      </c>
      <c r="G86" s="17" t="s">
        <v>49</v>
      </c>
      <c r="H86" s="17">
        <v>2</v>
      </c>
      <c r="I86" s="19">
        <v>149.99</v>
      </c>
      <c r="J86" s="17" t="s">
        <v>60</v>
      </c>
      <c r="K86" s="17" t="s">
        <v>66</v>
      </c>
      <c r="L86" s="17" t="s">
        <v>39</v>
      </c>
      <c r="M86" s="18">
        <v>44667</v>
      </c>
      <c r="N86" s="19">
        <v>299.98</v>
      </c>
      <c r="O86" s="20">
        <f t="shared" si="2"/>
        <v>45505</v>
      </c>
      <c r="P86" s="21">
        <f t="shared" si="3"/>
        <v>2</v>
      </c>
      <c r="Q86" s="22">
        <f>IF(AND(OR(Analysis!$C$5="All",K86=Analysis!$C$5),OR(Analysis!$C$6="All",G86=Analysis!$C$6)),MAX(Q$1:Q85)+1,"")</f>
        <v>85</v>
      </c>
    </row>
    <row r="87" spans="1:17" ht="15.75" customHeight="1" x14ac:dyDescent="0.35">
      <c r="A87" s="17" t="s">
        <v>217</v>
      </c>
      <c r="B87" s="18">
        <v>45513</v>
      </c>
      <c r="C87" s="17" t="s">
        <v>92</v>
      </c>
      <c r="D87" s="17" t="s">
        <v>93</v>
      </c>
      <c r="E87" s="17" t="s">
        <v>120</v>
      </c>
      <c r="F87" s="17" t="s">
        <v>121</v>
      </c>
      <c r="G87" s="17" t="s">
        <v>22</v>
      </c>
      <c r="H87" s="17">
        <v>1</v>
      </c>
      <c r="I87" s="19">
        <v>89.99</v>
      </c>
      <c r="J87" s="17" t="s">
        <v>29</v>
      </c>
      <c r="K87" s="17" t="s">
        <v>43</v>
      </c>
      <c r="L87" s="17" t="s">
        <v>39</v>
      </c>
      <c r="M87" s="18">
        <v>45393</v>
      </c>
      <c r="N87" s="19">
        <v>89.99</v>
      </c>
      <c r="O87" s="20">
        <f t="shared" si="2"/>
        <v>45505</v>
      </c>
      <c r="P87" s="21">
        <f t="shared" si="3"/>
        <v>0</v>
      </c>
      <c r="Q87" s="22">
        <f>IF(AND(OR(Analysis!$C$5="All",K87=Analysis!$C$5),OR(Analysis!$C$6="All",G87=Analysis!$C$6)),MAX(Q$1:Q86)+1,"")</f>
        <v>86</v>
      </c>
    </row>
    <row r="88" spans="1:17" ht="15.75" customHeight="1" x14ac:dyDescent="0.35">
      <c r="A88" s="17" t="s">
        <v>218</v>
      </c>
      <c r="B88" s="18">
        <v>45515</v>
      </c>
      <c r="C88" s="17" t="s">
        <v>89</v>
      </c>
      <c r="D88" s="17" t="s">
        <v>90</v>
      </c>
      <c r="E88" s="17" t="s">
        <v>108</v>
      </c>
      <c r="F88" s="17" t="s">
        <v>109</v>
      </c>
      <c r="G88" s="17" t="s">
        <v>49</v>
      </c>
      <c r="H88" s="17">
        <v>5</v>
      </c>
      <c r="I88" s="19">
        <v>299.99</v>
      </c>
      <c r="J88" s="17" t="s">
        <v>29</v>
      </c>
      <c r="K88" s="17" t="s">
        <v>43</v>
      </c>
      <c r="L88" s="17" t="s">
        <v>25</v>
      </c>
      <c r="M88" s="18">
        <v>44965</v>
      </c>
      <c r="N88" s="19">
        <v>1499.95</v>
      </c>
      <c r="O88" s="20">
        <f t="shared" si="2"/>
        <v>45505</v>
      </c>
      <c r="P88" s="21">
        <f t="shared" si="3"/>
        <v>1</v>
      </c>
      <c r="Q88" s="22">
        <f>IF(AND(OR(Analysis!$C$5="All",K88=Analysis!$C$5),OR(Analysis!$C$6="All",G88=Analysis!$C$6)),MAX(Q$1:Q87)+1,"")</f>
        <v>87</v>
      </c>
    </row>
    <row r="89" spans="1:17" ht="15.75" customHeight="1" x14ac:dyDescent="0.35">
      <c r="A89" s="17" t="s">
        <v>219</v>
      </c>
      <c r="B89" s="18">
        <v>45517</v>
      </c>
      <c r="C89" s="17" t="s">
        <v>185</v>
      </c>
      <c r="D89" s="17" t="s">
        <v>186</v>
      </c>
      <c r="E89" s="17" t="s">
        <v>55</v>
      </c>
      <c r="F89" s="17" t="s">
        <v>56</v>
      </c>
      <c r="G89" s="17" t="s">
        <v>22</v>
      </c>
      <c r="H89" s="17">
        <v>4</v>
      </c>
      <c r="I89" s="19">
        <v>149.99</v>
      </c>
      <c r="J89" s="17" t="s">
        <v>60</v>
      </c>
      <c r="K89" s="17" t="s">
        <v>38</v>
      </c>
      <c r="L89" s="17" t="s">
        <v>30</v>
      </c>
      <c r="M89" s="18">
        <v>44820</v>
      </c>
      <c r="N89" s="19">
        <v>599.96</v>
      </c>
      <c r="O89" s="20">
        <f t="shared" si="2"/>
        <v>45505</v>
      </c>
      <c r="P89" s="21">
        <f t="shared" si="3"/>
        <v>1</v>
      </c>
      <c r="Q89" s="22">
        <f>IF(AND(OR(Analysis!$C$5="All",K89=Analysis!$C$5),OR(Analysis!$C$6="All",G89=Analysis!$C$6)),MAX(Q$1:Q88)+1,"")</f>
        <v>88</v>
      </c>
    </row>
    <row r="90" spans="1:17" ht="15.75" customHeight="1" x14ac:dyDescent="0.35">
      <c r="A90" s="17" t="s">
        <v>220</v>
      </c>
      <c r="B90" s="18">
        <v>45517</v>
      </c>
      <c r="C90" s="17" t="s">
        <v>188</v>
      </c>
      <c r="D90" s="17" t="s">
        <v>189</v>
      </c>
      <c r="E90" s="17" t="s">
        <v>20</v>
      </c>
      <c r="F90" s="17" t="s">
        <v>21</v>
      </c>
      <c r="G90" s="17" t="s">
        <v>22</v>
      </c>
      <c r="H90" s="17">
        <v>5</v>
      </c>
      <c r="I90" s="19">
        <v>249.99</v>
      </c>
      <c r="J90" s="17" t="s">
        <v>37</v>
      </c>
      <c r="K90" s="17" t="s">
        <v>66</v>
      </c>
      <c r="L90" s="17" t="s">
        <v>30</v>
      </c>
      <c r="M90" s="18">
        <v>44782</v>
      </c>
      <c r="N90" s="19">
        <v>1249.95</v>
      </c>
      <c r="O90" s="20">
        <f t="shared" si="2"/>
        <v>45505</v>
      </c>
      <c r="P90" s="21">
        <f t="shared" si="3"/>
        <v>2</v>
      </c>
      <c r="Q90" s="22">
        <f>IF(AND(OR(Analysis!$C$5="All",K90=Analysis!$C$5),OR(Analysis!$C$6="All",G90=Analysis!$C$6)),MAX(Q$1:Q89)+1,"")</f>
        <v>89</v>
      </c>
    </row>
    <row r="91" spans="1:17" ht="15.75" customHeight="1" x14ac:dyDescent="0.35">
      <c r="A91" s="17" t="s">
        <v>221</v>
      </c>
      <c r="B91" s="18">
        <v>45517</v>
      </c>
      <c r="C91" s="17" t="s">
        <v>68</v>
      </c>
      <c r="D91" s="17" t="s">
        <v>69</v>
      </c>
      <c r="E91" s="17" t="s">
        <v>20</v>
      </c>
      <c r="F91" s="17" t="s">
        <v>21</v>
      </c>
      <c r="G91" s="17" t="s">
        <v>22</v>
      </c>
      <c r="H91" s="17">
        <v>3</v>
      </c>
      <c r="I91" s="19">
        <v>249.99</v>
      </c>
      <c r="J91" s="17" t="s">
        <v>37</v>
      </c>
      <c r="K91" s="17" t="s">
        <v>43</v>
      </c>
      <c r="L91" s="17" t="s">
        <v>30</v>
      </c>
      <c r="M91" s="18">
        <v>44465</v>
      </c>
      <c r="N91" s="19">
        <v>749.97</v>
      </c>
      <c r="O91" s="20">
        <f t="shared" si="2"/>
        <v>45505</v>
      </c>
      <c r="P91" s="21">
        <f t="shared" si="3"/>
        <v>2</v>
      </c>
      <c r="Q91" s="22">
        <f>IF(AND(OR(Analysis!$C$5="All",K91=Analysis!$C$5),OR(Analysis!$C$6="All",G91=Analysis!$C$6)),MAX(Q$1:Q90)+1,"")</f>
        <v>90</v>
      </c>
    </row>
    <row r="92" spans="1:17" ht="15.75" customHeight="1" x14ac:dyDescent="0.35">
      <c r="A92" s="17" t="s">
        <v>222</v>
      </c>
      <c r="B92" s="18">
        <v>45517</v>
      </c>
      <c r="C92" s="17" t="s">
        <v>41</v>
      </c>
      <c r="D92" s="17" t="s">
        <v>42</v>
      </c>
      <c r="E92" s="17" t="s">
        <v>129</v>
      </c>
      <c r="F92" s="17" t="s">
        <v>130</v>
      </c>
      <c r="G92" s="17" t="s">
        <v>49</v>
      </c>
      <c r="H92" s="17">
        <v>4</v>
      </c>
      <c r="I92" s="19">
        <v>199.99</v>
      </c>
      <c r="J92" s="17" t="s">
        <v>23</v>
      </c>
      <c r="K92" s="17" t="s">
        <v>43</v>
      </c>
      <c r="L92" s="17" t="s">
        <v>39</v>
      </c>
      <c r="M92" s="18">
        <v>44458</v>
      </c>
      <c r="N92" s="19">
        <v>799.96</v>
      </c>
      <c r="O92" s="20">
        <f t="shared" si="2"/>
        <v>45505</v>
      </c>
      <c r="P92" s="21">
        <f t="shared" si="3"/>
        <v>2</v>
      </c>
      <c r="Q92" s="22">
        <f>IF(AND(OR(Analysis!$C$5="All",K92=Analysis!$C$5),OR(Analysis!$C$6="All",G92=Analysis!$C$6)),MAX(Q$1:Q91)+1,"")</f>
        <v>91</v>
      </c>
    </row>
    <row r="93" spans="1:17" ht="15.75" customHeight="1" x14ac:dyDescent="0.35">
      <c r="A93" s="17" t="s">
        <v>223</v>
      </c>
      <c r="B93" s="18">
        <v>45519</v>
      </c>
      <c r="C93" s="17" t="s">
        <v>161</v>
      </c>
      <c r="D93" s="17" t="s">
        <v>162</v>
      </c>
      <c r="E93" s="17" t="s">
        <v>129</v>
      </c>
      <c r="F93" s="17" t="s">
        <v>130</v>
      </c>
      <c r="G93" s="17" t="s">
        <v>49</v>
      </c>
      <c r="H93" s="17">
        <v>5</v>
      </c>
      <c r="I93" s="19">
        <v>199.99</v>
      </c>
      <c r="J93" s="17" t="s">
        <v>23</v>
      </c>
      <c r="K93" s="17" t="s">
        <v>43</v>
      </c>
      <c r="L93" s="17" t="s">
        <v>30</v>
      </c>
      <c r="M93" s="18">
        <v>44991</v>
      </c>
      <c r="N93" s="19">
        <v>999.95</v>
      </c>
      <c r="O93" s="20">
        <f t="shared" si="2"/>
        <v>45505</v>
      </c>
      <c r="P93" s="21">
        <f t="shared" si="3"/>
        <v>1</v>
      </c>
      <c r="Q93" s="22">
        <f>IF(AND(OR(Analysis!$C$5="All",K93=Analysis!$C$5),OR(Analysis!$C$6="All",G93=Analysis!$C$6)),MAX(Q$1:Q92)+1,"")</f>
        <v>92</v>
      </c>
    </row>
    <row r="94" spans="1:17" ht="15.75" customHeight="1" x14ac:dyDescent="0.35">
      <c r="A94" s="17" t="s">
        <v>224</v>
      </c>
      <c r="B94" s="18">
        <v>45522</v>
      </c>
      <c r="C94" s="17" t="s">
        <v>89</v>
      </c>
      <c r="D94" s="17" t="s">
        <v>90</v>
      </c>
      <c r="E94" s="17" t="s">
        <v>120</v>
      </c>
      <c r="F94" s="17" t="s">
        <v>121</v>
      </c>
      <c r="G94" s="17" t="s">
        <v>22</v>
      </c>
      <c r="H94" s="17">
        <v>2</v>
      </c>
      <c r="I94" s="19">
        <v>89.99</v>
      </c>
      <c r="J94" s="17" t="s">
        <v>23</v>
      </c>
      <c r="K94" s="17" t="s">
        <v>66</v>
      </c>
      <c r="L94" s="17" t="s">
        <v>30</v>
      </c>
      <c r="M94" s="18">
        <v>44972</v>
      </c>
      <c r="N94" s="19">
        <v>179.98</v>
      </c>
      <c r="O94" s="20">
        <f t="shared" si="2"/>
        <v>45505</v>
      </c>
      <c r="P94" s="21">
        <f t="shared" si="3"/>
        <v>1</v>
      </c>
      <c r="Q94" s="22">
        <f>IF(AND(OR(Analysis!$C$5="All",K94=Analysis!$C$5),OR(Analysis!$C$6="All",G94=Analysis!$C$6)),MAX(Q$1:Q93)+1,"")</f>
        <v>93</v>
      </c>
    </row>
    <row r="95" spans="1:17" ht="15.75" customHeight="1" x14ac:dyDescent="0.35">
      <c r="A95" s="17" t="s">
        <v>225</v>
      </c>
      <c r="B95" s="18">
        <v>45523</v>
      </c>
      <c r="C95" s="17" t="s">
        <v>199</v>
      </c>
      <c r="D95" s="17" t="s">
        <v>200</v>
      </c>
      <c r="E95" s="17" t="s">
        <v>64</v>
      </c>
      <c r="F95" s="17" t="s">
        <v>65</v>
      </c>
      <c r="G95" s="17" t="s">
        <v>22</v>
      </c>
      <c r="H95" s="17">
        <v>5</v>
      </c>
      <c r="I95" s="19">
        <v>899.99</v>
      </c>
      <c r="J95" s="17" t="s">
        <v>60</v>
      </c>
      <c r="K95" s="17" t="s">
        <v>66</v>
      </c>
      <c r="L95" s="17" t="s">
        <v>25</v>
      </c>
      <c r="M95" s="18">
        <v>44526</v>
      </c>
      <c r="N95" s="19">
        <v>4499.95</v>
      </c>
      <c r="O95" s="20">
        <f t="shared" si="2"/>
        <v>45505</v>
      </c>
      <c r="P95" s="21">
        <f t="shared" si="3"/>
        <v>2</v>
      </c>
      <c r="Q95" s="22">
        <f>IF(AND(OR(Analysis!$C$5="All",K95=Analysis!$C$5),OR(Analysis!$C$6="All",G95=Analysis!$C$6)),MAX(Q$1:Q94)+1,"")</f>
        <v>94</v>
      </c>
    </row>
    <row r="96" spans="1:17" ht="15.75" customHeight="1" x14ac:dyDescent="0.35">
      <c r="A96" s="17" t="s">
        <v>226</v>
      </c>
      <c r="B96" s="18">
        <v>45523</v>
      </c>
      <c r="C96" s="17" t="s">
        <v>111</v>
      </c>
      <c r="D96" s="17" t="s">
        <v>112</v>
      </c>
      <c r="E96" s="17" t="s">
        <v>55</v>
      </c>
      <c r="F96" s="17" t="s">
        <v>56</v>
      </c>
      <c r="G96" s="17" t="s">
        <v>22</v>
      </c>
      <c r="H96" s="17">
        <v>3</v>
      </c>
      <c r="I96" s="19">
        <v>149.99</v>
      </c>
      <c r="J96" s="17" t="s">
        <v>37</v>
      </c>
      <c r="K96" s="17" t="s">
        <v>66</v>
      </c>
      <c r="L96" s="17" t="s">
        <v>25</v>
      </c>
      <c r="M96" s="18">
        <v>44574</v>
      </c>
      <c r="N96" s="19">
        <v>449.97</v>
      </c>
      <c r="O96" s="20">
        <f t="shared" si="2"/>
        <v>45505</v>
      </c>
      <c r="P96" s="21">
        <f t="shared" si="3"/>
        <v>2</v>
      </c>
      <c r="Q96" s="22">
        <f>IF(AND(OR(Analysis!$C$5="All",K96=Analysis!$C$5),OR(Analysis!$C$6="All",G96=Analysis!$C$6)),MAX(Q$1:Q95)+1,"")</f>
        <v>95</v>
      </c>
    </row>
    <row r="97" spans="1:17" ht="15.75" customHeight="1" x14ac:dyDescent="0.35">
      <c r="A97" s="17" t="s">
        <v>227</v>
      </c>
      <c r="B97" s="18">
        <v>45526</v>
      </c>
      <c r="C97" s="17" t="s">
        <v>105</v>
      </c>
      <c r="D97" s="17" t="s">
        <v>106</v>
      </c>
      <c r="E97" s="17" t="s">
        <v>47</v>
      </c>
      <c r="F97" s="17" t="s">
        <v>48</v>
      </c>
      <c r="G97" s="17" t="s">
        <v>49</v>
      </c>
      <c r="H97" s="17">
        <v>5</v>
      </c>
      <c r="I97" s="19">
        <v>149.99</v>
      </c>
      <c r="J97" s="17" t="s">
        <v>29</v>
      </c>
      <c r="K97" s="17" t="s">
        <v>24</v>
      </c>
      <c r="L97" s="17" t="s">
        <v>25</v>
      </c>
      <c r="M97" s="18">
        <v>45310</v>
      </c>
      <c r="N97" s="19">
        <v>749.95</v>
      </c>
      <c r="O97" s="20">
        <f t="shared" si="2"/>
        <v>45505</v>
      </c>
      <c r="P97" s="21">
        <f t="shared" si="3"/>
        <v>0</v>
      </c>
      <c r="Q97" s="22">
        <f>IF(AND(OR(Analysis!$C$5="All",K97=Analysis!$C$5),OR(Analysis!$C$6="All",G97=Analysis!$C$6)),MAX(Q$1:Q96)+1,"")</f>
        <v>96</v>
      </c>
    </row>
    <row r="98" spans="1:17" ht="15.75" customHeight="1" x14ac:dyDescent="0.35">
      <c r="A98" s="17" t="s">
        <v>228</v>
      </c>
      <c r="B98" s="18">
        <v>45528</v>
      </c>
      <c r="C98" s="17" t="s">
        <v>229</v>
      </c>
      <c r="D98" s="17" t="s">
        <v>230</v>
      </c>
      <c r="E98" s="17" t="s">
        <v>117</v>
      </c>
      <c r="F98" s="17" t="s">
        <v>118</v>
      </c>
      <c r="G98" s="17" t="s">
        <v>36</v>
      </c>
      <c r="H98" s="17">
        <v>3</v>
      </c>
      <c r="I98" s="19">
        <v>79.989999999999995</v>
      </c>
      <c r="J98" s="17" t="s">
        <v>23</v>
      </c>
      <c r="K98" s="17" t="s">
        <v>24</v>
      </c>
      <c r="L98" s="17" t="s">
        <v>30</v>
      </c>
      <c r="M98" s="18">
        <v>44779</v>
      </c>
      <c r="N98" s="19">
        <v>239.97</v>
      </c>
      <c r="O98" s="20">
        <f t="shared" si="2"/>
        <v>45505</v>
      </c>
      <c r="P98" s="21">
        <f t="shared" si="3"/>
        <v>2</v>
      </c>
      <c r="Q98" s="22">
        <f>IF(AND(OR(Analysis!$C$5="All",K98=Analysis!$C$5),OR(Analysis!$C$6="All",G98=Analysis!$C$6)),MAX(Q$1:Q97)+1,"")</f>
        <v>97</v>
      </c>
    </row>
    <row r="99" spans="1:17" ht="15.75" customHeight="1" x14ac:dyDescent="0.35">
      <c r="A99" s="17" t="s">
        <v>231</v>
      </c>
      <c r="B99" s="18">
        <v>45528</v>
      </c>
      <c r="C99" s="17" t="s">
        <v>147</v>
      </c>
      <c r="D99" s="17" t="s">
        <v>148</v>
      </c>
      <c r="E99" s="17" t="s">
        <v>20</v>
      </c>
      <c r="F99" s="17" t="s">
        <v>21</v>
      </c>
      <c r="G99" s="17" t="s">
        <v>22</v>
      </c>
      <c r="H99" s="17">
        <v>2</v>
      </c>
      <c r="I99" s="19">
        <v>249.99</v>
      </c>
      <c r="J99" s="17" t="s">
        <v>23</v>
      </c>
      <c r="K99" s="17" t="s">
        <v>38</v>
      </c>
      <c r="L99" s="17" t="s">
        <v>39</v>
      </c>
      <c r="M99" s="18">
        <v>44572</v>
      </c>
      <c r="N99" s="19">
        <v>499.98</v>
      </c>
      <c r="O99" s="20">
        <f t="shared" si="2"/>
        <v>45505</v>
      </c>
      <c r="P99" s="21">
        <f t="shared" si="3"/>
        <v>2</v>
      </c>
      <c r="Q99" s="22">
        <f>IF(AND(OR(Analysis!$C$5="All",K99=Analysis!$C$5),OR(Analysis!$C$6="All",G99=Analysis!$C$6)),MAX(Q$1:Q98)+1,"")</f>
        <v>98</v>
      </c>
    </row>
    <row r="100" spans="1:17" ht="15.75" customHeight="1" x14ac:dyDescent="0.35">
      <c r="A100" s="17" t="s">
        <v>232</v>
      </c>
      <c r="B100" s="18">
        <v>45532</v>
      </c>
      <c r="C100" s="17" t="s">
        <v>199</v>
      </c>
      <c r="D100" s="17" t="s">
        <v>200</v>
      </c>
      <c r="E100" s="17" t="s">
        <v>83</v>
      </c>
      <c r="F100" s="17" t="s">
        <v>84</v>
      </c>
      <c r="G100" s="17" t="s">
        <v>22</v>
      </c>
      <c r="H100" s="17">
        <v>1</v>
      </c>
      <c r="I100" s="19">
        <v>699.99</v>
      </c>
      <c r="J100" s="17" t="s">
        <v>23</v>
      </c>
      <c r="K100" s="17" t="s">
        <v>24</v>
      </c>
      <c r="L100" s="17" t="s">
        <v>30</v>
      </c>
      <c r="M100" s="18">
        <v>44497</v>
      </c>
      <c r="N100" s="19">
        <v>699.99</v>
      </c>
      <c r="O100" s="20">
        <f t="shared" si="2"/>
        <v>45505</v>
      </c>
      <c r="P100" s="21">
        <f t="shared" si="3"/>
        <v>2</v>
      </c>
      <c r="Q100" s="22">
        <f>IF(AND(OR(Analysis!$C$5="All",K100=Analysis!$C$5),OR(Analysis!$C$6="All",G100=Analysis!$C$6)),MAX(Q$1:Q99)+1,"")</f>
        <v>99</v>
      </c>
    </row>
    <row r="101" spans="1:17" ht="15.75" customHeight="1" x14ac:dyDescent="0.35">
      <c r="A101" s="17" t="s">
        <v>233</v>
      </c>
      <c r="B101" s="18">
        <v>45532</v>
      </c>
      <c r="C101" s="17" t="s">
        <v>234</v>
      </c>
      <c r="D101" s="17" t="s">
        <v>235</v>
      </c>
      <c r="E101" s="17" t="s">
        <v>55</v>
      </c>
      <c r="F101" s="17" t="s">
        <v>56</v>
      </c>
      <c r="G101" s="17" t="s">
        <v>22</v>
      </c>
      <c r="H101" s="17">
        <v>3</v>
      </c>
      <c r="I101" s="19">
        <v>149.99</v>
      </c>
      <c r="J101" s="17" t="s">
        <v>23</v>
      </c>
      <c r="K101" s="17" t="s">
        <v>53</v>
      </c>
      <c r="L101" s="17" t="s">
        <v>30</v>
      </c>
      <c r="M101" s="18">
        <v>45212</v>
      </c>
      <c r="N101" s="19">
        <v>449.97</v>
      </c>
      <c r="O101" s="20">
        <f t="shared" si="2"/>
        <v>45505</v>
      </c>
      <c r="P101" s="21">
        <f t="shared" si="3"/>
        <v>0</v>
      </c>
      <c r="Q101" s="22">
        <f>IF(AND(OR(Analysis!$C$5="All",K101=Analysis!$C$5),OR(Analysis!$C$6="All",G101=Analysis!$C$6)),MAX(Q$1:Q100)+1,"")</f>
        <v>100</v>
      </c>
    </row>
    <row r="102" spans="1:17" ht="15.75" customHeight="1" x14ac:dyDescent="0.35">
      <c r="A102" s="17" t="s">
        <v>236</v>
      </c>
      <c r="B102" s="18">
        <v>45534</v>
      </c>
      <c r="C102" s="17" t="s">
        <v>237</v>
      </c>
      <c r="D102" s="17" t="s">
        <v>238</v>
      </c>
      <c r="E102" s="17" t="s">
        <v>83</v>
      </c>
      <c r="F102" s="17" t="s">
        <v>84</v>
      </c>
      <c r="G102" s="17" t="s">
        <v>22</v>
      </c>
      <c r="H102" s="17">
        <v>2</v>
      </c>
      <c r="I102" s="19">
        <v>699.99</v>
      </c>
      <c r="J102" s="17" t="s">
        <v>29</v>
      </c>
      <c r="K102" s="17" t="s">
        <v>43</v>
      </c>
      <c r="L102" s="17" t="s">
        <v>30</v>
      </c>
      <c r="M102" s="18">
        <v>44421</v>
      </c>
      <c r="N102" s="19">
        <v>1399.98</v>
      </c>
      <c r="O102" s="20">
        <f t="shared" si="2"/>
        <v>45505</v>
      </c>
      <c r="P102" s="21">
        <f t="shared" si="3"/>
        <v>3</v>
      </c>
      <c r="Q102" s="22">
        <f>IF(AND(OR(Analysis!$C$5="All",K102=Analysis!$C$5),OR(Analysis!$C$6="All",G102=Analysis!$C$6)),MAX(Q$1:Q101)+1,"")</f>
        <v>101</v>
      </c>
    </row>
    <row r="103" spans="1:17" ht="15.75" customHeight="1" x14ac:dyDescent="0.35">
      <c r="A103" s="17" t="s">
        <v>239</v>
      </c>
      <c r="B103" s="18">
        <v>45537</v>
      </c>
      <c r="C103" s="17" t="s">
        <v>234</v>
      </c>
      <c r="D103" s="17" t="s">
        <v>235</v>
      </c>
      <c r="E103" s="17" t="s">
        <v>20</v>
      </c>
      <c r="F103" s="17" t="s">
        <v>21</v>
      </c>
      <c r="G103" s="17" t="s">
        <v>22</v>
      </c>
      <c r="H103" s="17">
        <v>1</v>
      </c>
      <c r="I103" s="19">
        <v>249.99</v>
      </c>
      <c r="J103" s="17" t="s">
        <v>29</v>
      </c>
      <c r="K103" s="17" t="s">
        <v>53</v>
      </c>
      <c r="L103" s="17" t="s">
        <v>30</v>
      </c>
      <c r="M103" s="18">
        <v>44685</v>
      </c>
      <c r="N103" s="19">
        <v>249.99</v>
      </c>
      <c r="O103" s="20">
        <f t="shared" si="2"/>
        <v>45536</v>
      </c>
      <c r="P103" s="21">
        <f t="shared" si="3"/>
        <v>2</v>
      </c>
      <c r="Q103" s="22">
        <f>IF(AND(OR(Analysis!$C$5="All",K103=Analysis!$C$5),OR(Analysis!$C$6="All",G103=Analysis!$C$6)),MAX(Q$1:Q102)+1,"")</f>
        <v>102</v>
      </c>
    </row>
    <row r="104" spans="1:17" ht="15.75" customHeight="1" x14ac:dyDescent="0.35">
      <c r="A104" s="17" t="s">
        <v>240</v>
      </c>
      <c r="B104" s="18">
        <v>45537</v>
      </c>
      <c r="C104" s="17" t="s">
        <v>18</v>
      </c>
      <c r="D104" s="17" t="s">
        <v>19</v>
      </c>
      <c r="E104" s="17" t="s">
        <v>20</v>
      </c>
      <c r="F104" s="17" t="s">
        <v>21</v>
      </c>
      <c r="G104" s="17" t="s">
        <v>22</v>
      </c>
      <c r="H104" s="17">
        <v>1</v>
      </c>
      <c r="I104" s="19">
        <v>249.99</v>
      </c>
      <c r="J104" s="17" t="s">
        <v>60</v>
      </c>
      <c r="K104" s="17" t="s">
        <v>43</v>
      </c>
      <c r="L104" s="17" t="s">
        <v>30</v>
      </c>
      <c r="M104" s="18">
        <v>45332</v>
      </c>
      <c r="N104" s="19">
        <v>249.99</v>
      </c>
      <c r="O104" s="20">
        <f t="shared" si="2"/>
        <v>45536</v>
      </c>
      <c r="P104" s="21">
        <f t="shared" si="3"/>
        <v>0</v>
      </c>
      <c r="Q104" s="22">
        <f>IF(AND(OR(Analysis!$C$5="All",K104=Analysis!$C$5),OR(Analysis!$C$6="All",G104=Analysis!$C$6)),MAX(Q$1:Q103)+1,"")</f>
        <v>103</v>
      </c>
    </row>
    <row r="105" spans="1:17" ht="15.75" customHeight="1" x14ac:dyDescent="0.35">
      <c r="A105" s="17" t="s">
        <v>241</v>
      </c>
      <c r="B105" s="18">
        <v>45538</v>
      </c>
      <c r="C105" s="17" t="s">
        <v>229</v>
      </c>
      <c r="D105" s="17" t="s">
        <v>230</v>
      </c>
      <c r="E105" s="17" t="s">
        <v>83</v>
      </c>
      <c r="F105" s="17" t="s">
        <v>84</v>
      </c>
      <c r="G105" s="17" t="s">
        <v>22</v>
      </c>
      <c r="H105" s="17">
        <v>2</v>
      </c>
      <c r="I105" s="19">
        <v>699.99</v>
      </c>
      <c r="J105" s="17" t="s">
        <v>60</v>
      </c>
      <c r="K105" s="17" t="s">
        <v>24</v>
      </c>
      <c r="L105" s="17" t="s">
        <v>30</v>
      </c>
      <c r="M105" s="18">
        <v>44870</v>
      </c>
      <c r="N105" s="19">
        <v>1399.98</v>
      </c>
      <c r="O105" s="20">
        <f t="shared" si="2"/>
        <v>45536</v>
      </c>
      <c r="P105" s="21">
        <f t="shared" si="3"/>
        <v>1</v>
      </c>
      <c r="Q105" s="22">
        <f>IF(AND(OR(Analysis!$C$5="All",K105=Analysis!$C$5),OR(Analysis!$C$6="All",G105=Analysis!$C$6)),MAX(Q$1:Q104)+1,"")</f>
        <v>104</v>
      </c>
    </row>
    <row r="106" spans="1:17" ht="15.75" customHeight="1" x14ac:dyDescent="0.35">
      <c r="A106" s="17" t="s">
        <v>242</v>
      </c>
      <c r="B106" s="18">
        <v>45541</v>
      </c>
      <c r="C106" s="17" t="s">
        <v>141</v>
      </c>
      <c r="D106" s="17" t="s">
        <v>142</v>
      </c>
      <c r="E106" s="17" t="s">
        <v>34</v>
      </c>
      <c r="F106" s="17" t="s">
        <v>35</v>
      </c>
      <c r="G106" s="17" t="s">
        <v>36</v>
      </c>
      <c r="H106" s="17">
        <v>3</v>
      </c>
      <c r="I106" s="19">
        <v>59.99</v>
      </c>
      <c r="J106" s="17" t="s">
        <v>29</v>
      </c>
      <c r="K106" s="17" t="s">
        <v>24</v>
      </c>
      <c r="L106" s="17" t="s">
        <v>30</v>
      </c>
      <c r="M106" s="18">
        <v>44717</v>
      </c>
      <c r="N106" s="19">
        <v>179.97</v>
      </c>
      <c r="O106" s="20">
        <f t="shared" si="2"/>
        <v>45536</v>
      </c>
      <c r="P106" s="21">
        <f t="shared" si="3"/>
        <v>2</v>
      </c>
      <c r="Q106" s="22">
        <f>IF(AND(OR(Analysis!$C$5="All",K106=Analysis!$C$5),OR(Analysis!$C$6="All",G106=Analysis!$C$6)),MAX(Q$1:Q105)+1,"")</f>
        <v>105</v>
      </c>
    </row>
    <row r="107" spans="1:17" ht="15.75" customHeight="1" x14ac:dyDescent="0.35">
      <c r="A107" s="17" t="s">
        <v>243</v>
      </c>
      <c r="B107" s="18">
        <v>45544</v>
      </c>
      <c r="C107" s="17" t="s">
        <v>135</v>
      </c>
      <c r="D107" s="17" t="s">
        <v>136</v>
      </c>
      <c r="E107" s="17" t="s">
        <v>34</v>
      </c>
      <c r="F107" s="17" t="s">
        <v>35</v>
      </c>
      <c r="G107" s="17" t="s">
        <v>36</v>
      </c>
      <c r="H107" s="17">
        <v>3</v>
      </c>
      <c r="I107" s="19">
        <v>59.99</v>
      </c>
      <c r="J107" s="17" t="s">
        <v>37</v>
      </c>
      <c r="K107" s="17" t="s">
        <v>66</v>
      </c>
      <c r="L107" s="17" t="s">
        <v>39</v>
      </c>
      <c r="M107" s="18">
        <v>44748</v>
      </c>
      <c r="N107" s="19">
        <v>179.97</v>
      </c>
      <c r="O107" s="20">
        <f t="shared" si="2"/>
        <v>45536</v>
      </c>
      <c r="P107" s="21">
        <f t="shared" si="3"/>
        <v>2</v>
      </c>
      <c r="Q107" s="22">
        <f>IF(AND(OR(Analysis!$C$5="All",K107=Analysis!$C$5),OR(Analysis!$C$6="All",G107=Analysis!$C$6)),MAX(Q$1:Q106)+1,"")</f>
        <v>106</v>
      </c>
    </row>
    <row r="108" spans="1:17" ht="15.75" customHeight="1" x14ac:dyDescent="0.35">
      <c r="A108" s="17" t="s">
        <v>244</v>
      </c>
      <c r="B108" s="18">
        <v>45544</v>
      </c>
      <c r="C108" s="17" t="s">
        <v>144</v>
      </c>
      <c r="D108" s="17" t="s">
        <v>145</v>
      </c>
      <c r="E108" s="17" t="s">
        <v>117</v>
      </c>
      <c r="F108" s="17" t="s">
        <v>118</v>
      </c>
      <c r="G108" s="17" t="s">
        <v>36</v>
      </c>
      <c r="H108" s="17">
        <v>4</v>
      </c>
      <c r="I108" s="19">
        <v>79.989999999999995</v>
      </c>
      <c r="J108" s="17" t="s">
        <v>23</v>
      </c>
      <c r="K108" s="17" t="s">
        <v>43</v>
      </c>
      <c r="L108" s="17" t="s">
        <v>25</v>
      </c>
      <c r="M108" s="18">
        <v>44530</v>
      </c>
      <c r="N108" s="19">
        <v>319.95999999999998</v>
      </c>
      <c r="O108" s="20">
        <f t="shared" si="2"/>
        <v>45536</v>
      </c>
      <c r="P108" s="21">
        <f t="shared" si="3"/>
        <v>2</v>
      </c>
      <c r="Q108" s="22">
        <f>IF(AND(OR(Analysis!$C$5="All",K108=Analysis!$C$5),OR(Analysis!$C$6="All",G108=Analysis!$C$6)),MAX(Q$1:Q107)+1,"")</f>
        <v>107</v>
      </c>
    </row>
    <row r="109" spans="1:17" ht="15.75" customHeight="1" x14ac:dyDescent="0.35">
      <c r="A109" s="17" t="s">
        <v>245</v>
      </c>
      <c r="B109" s="18">
        <v>45545</v>
      </c>
      <c r="C109" s="17" t="s">
        <v>58</v>
      </c>
      <c r="D109" s="17" t="s">
        <v>59</v>
      </c>
      <c r="E109" s="17" t="s">
        <v>117</v>
      </c>
      <c r="F109" s="17" t="s">
        <v>118</v>
      </c>
      <c r="G109" s="17" t="s">
        <v>36</v>
      </c>
      <c r="H109" s="17">
        <v>1</v>
      </c>
      <c r="I109" s="19">
        <v>79.989999999999995</v>
      </c>
      <c r="J109" s="17" t="s">
        <v>23</v>
      </c>
      <c r="K109" s="17" t="s">
        <v>53</v>
      </c>
      <c r="L109" s="17" t="s">
        <v>25</v>
      </c>
      <c r="M109" s="18">
        <v>44693</v>
      </c>
      <c r="N109" s="19">
        <v>79.989999999999995</v>
      </c>
      <c r="O109" s="20">
        <f t="shared" si="2"/>
        <v>45536</v>
      </c>
      <c r="P109" s="21">
        <f t="shared" si="3"/>
        <v>2</v>
      </c>
      <c r="Q109" s="22">
        <f>IF(AND(OR(Analysis!$C$5="All",K109=Analysis!$C$5),OR(Analysis!$C$6="All",G109=Analysis!$C$6)),MAX(Q$1:Q108)+1,"")</f>
        <v>108</v>
      </c>
    </row>
    <row r="110" spans="1:17" ht="15.75" customHeight="1" x14ac:dyDescent="0.35">
      <c r="A110" s="17" t="s">
        <v>246</v>
      </c>
      <c r="B110" s="18">
        <v>45547</v>
      </c>
      <c r="C110" s="17" t="s">
        <v>51</v>
      </c>
      <c r="D110" s="17" t="s">
        <v>52</v>
      </c>
      <c r="E110" s="17" t="s">
        <v>108</v>
      </c>
      <c r="F110" s="17" t="s">
        <v>109</v>
      </c>
      <c r="G110" s="17" t="s">
        <v>49</v>
      </c>
      <c r="H110" s="17">
        <v>3</v>
      </c>
      <c r="I110" s="19">
        <v>299.99</v>
      </c>
      <c r="J110" s="17" t="s">
        <v>29</v>
      </c>
      <c r="K110" s="17" t="s">
        <v>24</v>
      </c>
      <c r="L110" s="17" t="s">
        <v>30</v>
      </c>
      <c r="M110" s="18">
        <v>44494</v>
      </c>
      <c r="N110" s="19">
        <v>899.97</v>
      </c>
      <c r="O110" s="20">
        <f t="shared" si="2"/>
        <v>45536</v>
      </c>
      <c r="P110" s="21">
        <f t="shared" si="3"/>
        <v>2</v>
      </c>
      <c r="Q110" s="22">
        <f>IF(AND(OR(Analysis!$C$5="All",K110=Analysis!$C$5),OR(Analysis!$C$6="All",G110=Analysis!$C$6)),MAX(Q$1:Q109)+1,"")</f>
        <v>109</v>
      </c>
    </row>
    <row r="111" spans="1:17" ht="15.75" customHeight="1" x14ac:dyDescent="0.35">
      <c r="A111" s="17" t="s">
        <v>247</v>
      </c>
      <c r="B111" s="18">
        <v>45548</v>
      </c>
      <c r="C111" s="17" t="s">
        <v>41</v>
      </c>
      <c r="D111" s="17" t="s">
        <v>42</v>
      </c>
      <c r="E111" s="17" t="s">
        <v>120</v>
      </c>
      <c r="F111" s="17" t="s">
        <v>121</v>
      </c>
      <c r="G111" s="17" t="s">
        <v>22</v>
      </c>
      <c r="H111" s="17">
        <v>2</v>
      </c>
      <c r="I111" s="19">
        <v>89.99</v>
      </c>
      <c r="J111" s="17" t="s">
        <v>29</v>
      </c>
      <c r="K111" s="17" t="s">
        <v>38</v>
      </c>
      <c r="L111" s="17" t="s">
        <v>30</v>
      </c>
      <c r="M111" s="18">
        <v>44641</v>
      </c>
      <c r="N111" s="19">
        <v>179.98</v>
      </c>
      <c r="O111" s="20">
        <f t="shared" si="2"/>
        <v>45536</v>
      </c>
      <c r="P111" s="21">
        <f t="shared" si="3"/>
        <v>2</v>
      </c>
      <c r="Q111" s="22">
        <f>IF(AND(OR(Analysis!$C$5="All",K111=Analysis!$C$5),OR(Analysis!$C$6="All",G111=Analysis!$C$6)),MAX(Q$1:Q110)+1,"")</f>
        <v>110</v>
      </c>
    </row>
    <row r="112" spans="1:17" ht="15.75" customHeight="1" x14ac:dyDescent="0.35">
      <c r="A112" s="17" t="s">
        <v>248</v>
      </c>
      <c r="B112" s="18">
        <v>45550</v>
      </c>
      <c r="C112" s="17" t="s">
        <v>249</v>
      </c>
      <c r="D112" s="17" t="s">
        <v>250</v>
      </c>
      <c r="E112" s="17" t="s">
        <v>55</v>
      </c>
      <c r="F112" s="17" t="s">
        <v>56</v>
      </c>
      <c r="G112" s="17" t="s">
        <v>22</v>
      </c>
      <c r="H112" s="17">
        <v>4</v>
      </c>
      <c r="I112" s="19">
        <v>149.99</v>
      </c>
      <c r="J112" s="17" t="s">
        <v>23</v>
      </c>
      <c r="K112" s="17" t="s">
        <v>43</v>
      </c>
      <c r="L112" s="17" t="s">
        <v>25</v>
      </c>
      <c r="M112" s="18">
        <v>44909</v>
      </c>
      <c r="N112" s="19">
        <v>599.96</v>
      </c>
      <c r="O112" s="20">
        <f t="shared" si="2"/>
        <v>45536</v>
      </c>
      <c r="P112" s="21">
        <f t="shared" si="3"/>
        <v>1</v>
      </c>
      <c r="Q112" s="22">
        <f>IF(AND(OR(Analysis!$C$5="All",K112=Analysis!$C$5),OR(Analysis!$C$6="All",G112=Analysis!$C$6)),MAX(Q$1:Q111)+1,"")</f>
        <v>111</v>
      </c>
    </row>
    <row r="113" spans="1:17" ht="15.75" customHeight="1" x14ac:dyDescent="0.35">
      <c r="A113" s="17" t="s">
        <v>251</v>
      </c>
      <c r="B113" s="18">
        <v>45551</v>
      </c>
      <c r="C113" s="17" t="s">
        <v>68</v>
      </c>
      <c r="D113" s="17" t="s">
        <v>69</v>
      </c>
      <c r="E113" s="17" t="s">
        <v>20</v>
      </c>
      <c r="F113" s="17" t="s">
        <v>21</v>
      </c>
      <c r="G113" s="17" t="s">
        <v>22</v>
      </c>
      <c r="H113" s="17">
        <v>2</v>
      </c>
      <c r="I113" s="19">
        <v>249.99</v>
      </c>
      <c r="J113" s="17" t="s">
        <v>37</v>
      </c>
      <c r="K113" s="17" t="s">
        <v>38</v>
      </c>
      <c r="L113" s="17" t="s">
        <v>25</v>
      </c>
      <c r="M113" s="18">
        <v>44993</v>
      </c>
      <c r="N113" s="19">
        <v>499.98</v>
      </c>
      <c r="O113" s="20">
        <f t="shared" si="2"/>
        <v>45536</v>
      </c>
      <c r="P113" s="21">
        <f t="shared" si="3"/>
        <v>1</v>
      </c>
      <c r="Q113" s="22">
        <f>IF(AND(OR(Analysis!$C$5="All",K113=Analysis!$C$5),OR(Analysis!$C$6="All",G113=Analysis!$C$6)),MAX(Q$1:Q112)+1,"")</f>
        <v>112</v>
      </c>
    </row>
    <row r="114" spans="1:17" ht="15.75" customHeight="1" x14ac:dyDescent="0.35">
      <c r="A114" s="17" t="s">
        <v>252</v>
      </c>
      <c r="B114" s="18">
        <v>45551</v>
      </c>
      <c r="C114" s="17" t="s">
        <v>157</v>
      </c>
      <c r="D114" s="17" t="s">
        <v>158</v>
      </c>
      <c r="E114" s="17" t="s">
        <v>129</v>
      </c>
      <c r="F114" s="17" t="s">
        <v>130</v>
      </c>
      <c r="G114" s="17" t="s">
        <v>49</v>
      </c>
      <c r="H114" s="17">
        <v>4</v>
      </c>
      <c r="I114" s="19">
        <v>199.99</v>
      </c>
      <c r="J114" s="17" t="s">
        <v>60</v>
      </c>
      <c r="K114" s="17" t="s">
        <v>66</v>
      </c>
      <c r="L114" s="17" t="s">
        <v>25</v>
      </c>
      <c r="M114" s="18">
        <v>44458</v>
      </c>
      <c r="N114" s="19">
        <v>799.96</v>
      </c>
      <c r="O114" s="20">
        <f t="shared" si="2"/>
        <v>45536</v>
      </c>
      <c r="P114" s="21">
        <f t="shared" si="3"/>
        <v>2</v>
      </c>
      <c r="Q114" s="22">
        <f>IF(AND(OR(Analysis!$C$5="All",K114=Analysis!$C$5),OR(Analysis!$C$6="All",G114=Analysis!$C$6)),MAX(Q$1:Q113)+1,"")</f>
        <v>113</v>
      </c>
    </row>
    <row r="115" spans="1:17" ht="15.75" customHeight="1" x14ac:dyDescent="0.35">
      <c r="A115" s="17" t="s">
        <v>253</v>
      </c>
      <c r="B115" s="18">
        <v>45554</v>
      </c>
      <c r="C115" s="17" t="s">
        <v>150</v>
      </c>
      <c r="D115" s="17" t="s">
        <v>151</v>
      </c>
      <c r="E115" s="17" t="s">
        <v>120</v>
      </c>
      <c r="F115" s="17" t="s">
        <v>121</v>
      </c>
      <c r="G115" s="17" t="s">
        <v>22</v>
      </c>
      <c r="H115" s="17">
        <v>5</v>
      </c>
      <c r="I115" s="19">
        <v>89.99</v>
      </c>
      <c r="J115" s="17" t="s">
        <v>29</v>
      </c>
      <c r="K115" s="17" t="s">
        <v>66</v>
      </c>
      <c r="L115" s="17" t="s">
        <v>30</v>
      </c>
      <c r="M115" s="18">
        <v>44446</v>
      </c>
      <c r="N115" s="19">
        <v>449.95</v>
      </c>
      <c r="O115" s="20">
        <f t="shared" si="2"/>
        <v>45536</v>
      </c>
      <c r="P115" s="21">
        <f t="shared" si="3"/>
        <v>3</v>
      </c>
      <c r="Q115" s="22">
        <f>IF(AND(OR(Analysis!$C$5="All",K115=Analysis!$C$5),OR(Analysis!$C$6="All",G115=Analysis!$C$6)),MAX(Q$1:Q114)+1,"")</f>
        <v>114</v>
      </c>
    </row>
    <row r="116" spans="1:17" ht="15.75" customHeight="1" x14ac:dyDescent="0.35">
      <c r="A116" s="17" t="s">
        <v>254</v>
      </c>
      <c r="B116" s="18">
        <v>45554</v>
      </c>
      <c r="C116" s="17" t="s">
        <v>255</v>
      </c>
      <c r="D116" s="17" t="s">
        <v>256</v>
      </c>
      <c r="E116" s="17" t="s">
        <v>55</v>
      </c>
      <c r="F116" s="17" t="s">
        <v>56</v>
      </c>
      <c r="G116" s="17" t="s">
        <v>22</v>
      </c>
      <c r="H116" s="17">
        <v>1</v>
      </c>
      <c r="I116" s="19">
        <v>149.99</v>
      </c>
      <c r="J116" s="17" t="s">
        <v>37</v>
      </c>
      <c r="K116" s="17" t="s">
        <v>66</v>
      </c>
      <c r="L116" s="17" t="s">
        <v>39</v>
      </c>
      <c r="M116" s="18">
        <v>44482</v>
      </c>
      <c r="N116" s="19">
        <v>149.99</v>
      </c>
      <c r="O116" s="20">
        <f t="shared" si="2"/>
        <v>45536</v>
      </c>
      <c r="P116" s="21">
        <f t="shared" si="3"/>
        <v>2</v>
      </c>
      <c r="Q116" s="22">
        <f>IF(AND(OR(Analysis!$C$5="All",K116=Analysis!$C$5),OR(Analysis!$C$6="All",G116=Analysis!$C$6)),MAX(Q$1:Q115)+1,"")</f>
        <v>115</v>
      </c>
    </row>
    <row r="117" spans="1:17" ht="15.75" customHeight="1" x14ac:dyDescent="0.35">
      <c r="A117" s="17" t="s">
        <v>257</v>
      </c>
      <c r="B117" s="18">
        <v>45554</v>
      </c>
      <c r="C117" s="17" t="s">
        <v>75</v>
      </c>
      <c r="D117" s="17" t="s">
        <v>76</v>
      </c>
      <c r="E117" s="17" t="s">
        <v>83</v>
      </c>
      <c r="F117" s="17" t="s">
        <v>84</v>
      </c>
      <c r="G117" s="17" t="s">
        <v>22</v>
      </c>
      <c r="H117" s="17">
        <v>4</v>
      </c>
      <c r="I117" s="19">
        <v>699.99</v>
      </c>
      <c r="J117" s="17" t="s">
        <v>37</v>
      </c>
      <c r="K117" s="17" t="s">
        <v>38</v>
      </c>
      <c r="L117" s="17" t="s">
        <v>25</v>
      </c>
      <c r="M117" s="18">
        <v>44618</v>
      </c>
      <c r="N117" s="19">
        <v>2799.96</v>
      </c>
      <c r="O117" s="20">
        <f t="shared" si="2"/>
        <v>45536</v>
      </c>
      <c r="P117" s="21">
        <f t="shared" si="3"/>
        <v>2</v>
      </c>
      <c r="Q117" s="22">
        <f>IF(AND(OR(Analysis!$C$5="All",K117=Analysis!$C$5),OR(Analysis!$C$6="All",G117=Analysis!$C$6)),MAX(Q$1:Q116)+1,"")</f>
        <v>116</v>
      </c>
    </row>
    <row r="118" spans="1:17" ht="15.75" customHeight="1" x14ac:dyDescent="0.35">
      <c r="A118" s="17" t="s">
        <v>258</v>
      </c>
      <c r="B118" s="18">
        <v>45559</v>
      </c>
      <c r="C118" s="17" t="s">
        <v>237</v>
      </c>
      <c r="D118" s="17" t="s">
        <v>238</v>
      </c>
      <c r="E118" s="17" t="s">
        <v>64</v>
      </c>
      <c r="F118" s="17" t="s">
        <v>65</v>
      </c>
      <c r="G118" s="17" t="s">
        <v>22</v>
      </c>
      <c r="H118" s="17">
        <v>3</v>
      </c>
      <c r="I118" s="19">
        <v>899.99</v>
      </c>
      <c r="J118" s="17" t="s">
        <v>29</v>
      </c>
      <c r="K118" s="17" t="s">
        <v>43</v>
      </c>
      <c r="L118" s="17" t="s">
        <v>39</v>
      </c>
      <c r="M118" s="18">
        <v>45157</v>
      </c>
      <c r="N118" s="19">
        <v>2699.97</v>
      </c>
      <c r="O118" s="20">
        <f t="shared" si="2"/>
        <v>45536</v>
      </c>
      <c r="P118" s="21">
        <f t="shared" si="3"/>
        <v>1</v>
      </c>
      <c r="Q118" s="22">
        <f>IF(AND(OR(Analysis!$C$5="All",K118=Analysis!$C$5),OR(Analysis!$C$6="All",G118=Analysis!$C$6)),MAX(Q$1:Q117)+1,"")</f>
        <v>117</v>
      </c>
    </row>
    <row r="119" spans="1:17" ht="15.75" customHeight="1" x14ac:dyDescent="0.35">
      <c r="A119" s="17" t="s">
        <v>259</v>
      </c>
      <c r="B119" s="18">
        <v>45560</v>
      </c>
      <c r="C119" s="17" t="s">
        <v>115</v>
      </c>
      <c r="D119" s="17" t="s">
        <v>116</v>
      </c>
      <c r="E119" s="17" t="s">
        <v>47</v>
      </c>
      <c r="F119" s="17" t="s">
        <v>48</v>
      </c>
      <c r="G119" s="17" t="s">
        <v>49</v>
      </c>
      <c r="H119" s="17">
        <v>3</v>
      </c>
      <c r="I119" s="19">
        <v>149.99</v>
      </c>
      <c r="J119" s="17" t="s">
        <v>37</v>
      </c>
      <c r="K119" s="17" t="s">
        <v>66</v>
      </c>
      <c r="L119" s="17" t="s">
        <v>25</v>
      </c>
      <c r="M119" s="18">
        <v>44886</v>
      </c>
      <c r="N119" s="19">
        <v>449.97</v>
      </c>
      <c r="O119" s="20">
        <f t="shared" si="2"/>
        <v>45536</v>
      </c>
      <c r="P119" s="21">
        <f t="shared" si="3"/>
        <v>1</v>
      </c>
      <c r="Q119" s="22">
        <f>IF(AND(OR(Analysis!$C$5="All",K119=Analysis!$C$5),OR(Analysis!$C$6="All",G119=Analysis!$C$6)),MAX(Q$1:Q118)+1,"")</f>
        <v>118</v>
      </c>
    </row>
    <row r="120" spans="1:17" ht="15.75" customHeight="1" x14ac:dyDescent="0.35">
      <c r="A120" s="17" t="s">
        <v>260</v>
      </c>
      <c r="B120" s="18">
        <v>45563</v>
      </c>
      <c r="C120" s="17" t="s">
        <v>102</v>
      </c>
      <c r="D120" s="17" t="s">
        <v>103</v>
      </c>
      <c r="E120" s="17" t="s">
        <v>108</v>
      </c>
      <c r="F120" s="17" t="s">
        <v>109</v>
      </c>
      <c r="G120" s="17" t="s">
        <v>49</v>
      </c>
      <c r="H120" s="17">
        <v>2</v>
      </c>
      <c r="I120" s="19">
        <v>299.99</v>
      </c>
      <c r="J120" s="17" t="s">
        <v>60</v>
      </c>
      <c r="K120" s="17" t="s">
        <v>24</v>
      </c>
      <c r="L120" s="17" t="s">
        <v>25</v>
      </c>
      <c r="M120" s="18">
        <v>44569</v>
      </c>
      <c r="N120" s="19">
        <v>599.98</v>
      </c>
      <c r="O120" s="20">
        <f t="shared" si="2"/>
        <v>45536</v>
      </c>
      <c r="P120" s="21">
        <f t="shared" si="3"/>
        <v>2</v>
      </c>
      <c r="Q120" s="22">
        <f>IF(AND(OR(Analysis!$C$5="All",K120=Analysis!$C$5),OR(Analysis!$C$6="All",G120=Analysis!$C$6)),MAX(Q$1:Q119)+1,"")</f>
        <v>119</v>
      </c>
    </row>
    <row r="121" spans="1:17" ht="15.75" customHeight="1" x14ac:dyDescent="0.35">
      <c r="A121" s="17" t="s">
        <v>261</v>
      </c>
      <c r="B121" s="18">
        <v>45564</v>
      </c>
      <c r="C121" s="17" t="s">
        <v>262</v>
      </c>
      <c r="D121" s="17" t="s">
        <v>263</v>
      </c>
      <c r="E121" s="17" t="s">
        <v>129</v>
      </c>
      <c r="F121" s="17" t="s">
        <v>130</v>
      </c>
      <c r="G121" s="17" t="s">
        <v>49</v>
      </c>
      <c r="H121" s="17">
        <v>1</v>
      </c>
      <c r="I121" s="19">
        <v>199.99</v>
      </c>
      <c r="J121" s="17" t="s">
        <v>60</v>
      </c>
      <c r="K121" s="17" t="s">
        <v>66</v>
      </c>
      <c r="L121" s="17" t="s">
        <v>39</v>
      </c>
      <c r="M121" s="18">
        <v>44953</v>
      </c>
      <c r="N121" s="19">
        <v>199.99</v>
      </c>
      <c r="O121" s="20">
        <f t="shared" si="2"/>
        <v>45536</v>
      </c>
      <c r="P121" s="21">
        <f t="shared" si="3"/>
        <v>1</v>
      </c>
      <c r="Q121" s="22">
        <f>IF(AND(OR(Analysis!$C$5="All",K121=Analysis!$C$5),OR(Analysis!$C$6="All",G121=Analysis!$C$6)),MAX(Q$1:Q120)+1,"")</f>
        <v>120</v>
      </c>
    </row>
    <row r="122" spans="1:17" ht="15.75" customHeight="1" x14ac:dyDescent="0.35">
      <c r="A122" s="17" t="s">
        <v>264</v>
      </c>
      <c r="B122" s="18">
        <v>45566</v>
      </c>
      <c r="C122" s="17" t="s">
        <v>45</v>
      </c>
      <c r="D122" s="17" t="s">
        <v>46</v>
      </c>
      <c r="E122" s="17" t="s">
        <v>108</v>
      </c>
      <c r="F122" s="17" t="s">
        <v>109</v>
      </c>
      <c r="G122" s="17" t="s">
        <v>49</v>
      </c>
      <c r="H122" s="17">
        <v>4</v>
      </c>
      <c r="I122" s="19">
        <v>299.99</v>
      </c>
      <c r="J122" s="17" t="s">
        <v>23</v>
      </c>
      <c r="K122" s="17" t="s">
        <v>24</v>
      </c>
      <c r="L122" s="17" t="s">
        <v>30</v>
      </c>
      <c r="M122" s="18">
        <v>44460</v>
      </c>
      <c r="N122" s="19">
        <v>1199.96</v>
      </c>
      <c r="O122" s="20">
        <f t="shared" si="2"/>
        <v>45566</v>
      </c>
      <c r="P122" s="21">
        <f t="shared" si="3"/>
        <v>3</v>
      </c>
      <c r="Q122" s="22">
        <f>IF(AND(OR(Analysis!$C$5="All",K122=Analysis!$C$5),OR(Analysis!$C$6="All",G122=Analysis!$C$6)),MAX(Q$1:Q121)+1,"")</f>
        <v>121</v>
      </c>
    </row>
    <row r="123" spans="1:17" ht="15.75" customHeight="1" x14ac:dyDescent="0.35">
      <c r="A123" s="17" t="s">
        <v>265</v>
      </c>
      <c r="B123" s="18">
        <v>45572</v>
      </c>
      <c r="C123" s="17" t="s">
        <v>92</v>
      </c>
      <c r="D123" s="17" t="s">
        <v>93</v>
      </c>
      <c r="E123" s="17" t="s">
        <v>34</v>
      </c>
      <c r="F123" s="17" t="s">
        <v>35</v>
      </c>
      <c r="G123" s="17" t="s">
        <v>36</v>
      </c>
      <c r="H123" s="17">
        <v>2</v>
      </c>
      <c r="I123" s="19">
        <v>59.99</v>
      </c>
      <c r="J123" s="17" t="s">
        <v>29</v>
      </c>
      <c r="K123" s="17" t="s">
        <v>24</v>
      </c>
      <c r="L123" s="17" t="s">
        <v>25</v>
      </c>
      <c r="M123" s="18">
        <v>44579</v>
      </c>
      <c r="N123" s="19">
        <v>119.98</v>
      </c>
      <c r="O123" s="20">
        <f t="shared" si="2"/>
        <v>45566</v>
      </c>
      <c r="P123" s="21">
        <f t="shared" si="3"/>
        <v>2</v>
      </c>
      <c r="Q123" s="22">
        <f>IF(AND(OR(Analysis!$C$5="All",K123=Analysis!$C$5),OR(Analysis!$C$6="All",G123=Analysis!$C$6)),MAX(Q$1:Q122)+1,"")</f>
        <v>122</v>
      </c>
    </row>
    <row r="124" spans="1:17" ht="15.75" customHeight="1" x14ac:dyDescent="0.35">
      <c r="A124" s="17" t="s">
        <v>266</v>
      </c>
      <c r="B124" s="18">
        <v>45572</v>
      </c>
      <c r="C124" s="17" t="s">
        <v>237</v>
      </c>
      <c r="D124" s="17" t="s">
        <v>238</v>
      </c>
      <c r="E124" s="17" t="s">
        <v>55</v>
      </c>
      <c r="F124" s="17" t="s">
        <v>56</v>
      </c>
      <c r="G124" s="17" t="s">
        <v>22</v>
      </c>
      <c r="H124" s="17">
        <v>4</v>
      </c>
      <c r="I124" s="19">
        <v>149.99</v>
      </c>
      <c r="J124" s="17" t="s">
        <v>29</v>
      </c>
      <c r="K124" s="17" t="s">
        <v>43</v>
      </c>
      <c r="L124" s="17" t="s">
        <v>30</v>
      </c>
      <c r="M124" s="18">
        <v>45076</v>
      </c>
      <c r="N124" s="19">
        <v>599.96</v>
      </c>
      <c r="O124" s="20">
        <f t="shared" si="2"/>
        <v>45566</v>
      </c>
      <c r="P124" s="21">
        <f t="shared" si="3"/>
        <v>1</v>
      </c>
      <c r="Q124" s="22">
        <f>IF(AND(OR(Analysis!$C$5="All",K124=Analysis!$C$5),OR(Analysis!$C$6="All",G124=Analysis!$C$6)),MAX(Q$1:Q123)+1,"")</f>
        <v>123</v>
      </c>
    </row>
    <row r="125" spans="1:17" ht="15.75" customHeight="1" x14ac:dyDescent="0.35">
      <c r="A125" s="17" t="s">
        <v>267</v>
      </c>
      <c r="B125" s="18">
        <v>45573</v>
      </c>
      <c r="C125" s="17" t="s">
        <v>214</v>
      </c>
      <c r="D125" s="17" t="s">
        <v>215</v>
      </c>
      <c r="E125" s="17" t="s">
        <v>83</v>
      </c>
      <c r="F125" s="17" t="s">
        <v>84</v>
      </c>
      <c r="G125" s="17" t="s">
        <v>22</v>
      </c>
      <c r="H125" s="17">
        <v>2</v>
      </c>
      <c r="I125" s="19">
        <v>699.99</v>
      </c>
      <c r="J125" s="17" t="s">
        <v>60</v>
      </c>
      <c r="K125" s="17" t="s">
        <v>66</v>
      </c>
      <c r="L125" s="17" t="s">
        <v>30</v>
      </c>
      <c r="M125" s="18">
        <v>45274</v>
      </c>
      <c r="N125" s="19">
        <v>1399.98</v>
      </c>
      <c r="O125" s="20">
        <f t="shared" si="2"/>
        <v>45566</v>
      </c>
      <c r="P125" s="21">
        <f t="shared" si="3"/>
        <v>0</v>
      </c>
      <c r="Q125" s="22">
        <f>IF(AND(OR(Analysis!$C$5="All",K125=Analysis!$C$5),OR(Analysis!$C$6="All",G125=Analysis!$C$6)),MAX(Q$1:Q124)+1,"")</f>
        <v>124</v>
      </c>
    </row>
    <row r="126" spans="1:17" ht="15.75" customHeight="1" x14ac:dyDescent="0.35">
      <c r="A126" s="17" t="s">
        <v>268</v>
      </c>
      <c r="B126" s="18">
        <v>45573</v>
      </c>
      <c r="C126" s="17" t="s">
        <v>234</v>
      </c>
      <c r="D126" s="17" t="s">
        <v>235</v>
      </c>
      <c r="E126" s="17" t="s">
        <v>47</v>
      </c>
      <c r="F126" s="17" t="s">
        <v>48</v>
      </c>
      <c r="G126" s="17" t="s">
        <v>49</v>
      </c>
      <c r="H126" s="17">
        <v>3</v>
      </c>
      <c r="I126" s="19">
        <v>149.99</v>
      </c>
      <c r="J126" s="17" t="s">
        <v>29</v>
      </c>
      <c r="K126" s="17" t="s">
        <v>38</v>
      </c>
      <c r="L126" s="17" t="s">
        <v>39</v>
      </c>
      <c r="M126" s="18">
        <v>44940</v>
      </c>
      <c r="N126" s="19">
        <v>449.97</v>
      </c>
      <c r="O126" s="20">
        <f t="shared" si="2"/>
        <v>45566</v>
      </c>
      <c r="P126" s="21">
        <f t="shared" si="3"/>
        <v>1</v>
      </c>
      <c r="Q126" s="22">
        <f>IF(AND(OR(Analysis!$C$5="All",K126=Analysis!$C$5),OR(Analysis!$C$6="All",G126=Analysis!$C$6)),MAX(Q$1:Q125)+1,"")</f>
        <v>125</v>
      </c>
    </row>
    <row r="127" spans="1:17" ht="15.75" customHeight="1" x14ac:dyDescent="0.35">
      <c r="A127" s="17" t="s">
        <v>269</v>
      </c>
      <c r="B127" s="18">
        <v>45576</v>
      </c>
      <c r="C127" s="17" t="s">
        <v>150</v>
      </c>
      <c r="D127" s="17" t="s">
        <v>151</v>
      </c>
      <c r="E127" s="17" t="s">
        <v>108</v>
      </c>
      <c r="F127" s="17" t="s">
        <v>109</v>
      </c>
      <c r="G127" s="17" t="s">
        <v>49</v>
      </c>
      <c r="H127" s="17">
        <v>3</v>
      </c>
      <c r="I127" s="19">
        <v>299.99</v>
      </c>
      <c r="J127" s="17" t="s">
        <v>29</v>
      </c>
      <c r="K127" s="17" t="s">
        <v>24</v>
      </c>
      <c r="L127" s="17" t="s">
        <v>39</v>
      </c>
      <c r="M127" s="18">
        <v>45174</v>
      </c>
      <c r="N127" s="19">
        <v>899.97</v>
      </c>
      <c r="O127" s="20">
        <f t="shared" si="2"/>
        <v>45566</v>
      </c>
      <c r="P127" s="21">
        <f t="shared" si="3"/>
        <v>1</v>
      </c>
      <c r="Q127" s="22">
        <f>IF(AND(OR(Analysis!$C$5="All",K127=Analysis!$C$5),OR(Analysis!$C$6="All",G127=Analysis!$C$6)),MAX(Q$1:Q126)+1,"")</f>
        <v>126</v>
      </c>
    </row>
    <row r="128" spans="1:17" ht="15.75" customHeight="1" x14ac:dyDescent="0.35">
      <c r="A128" s="17" t="s">
        <v>270</v>
      </c>
      <c r="B128" s="18">
        <v>45579</v>
      </c>
      <c r="C128" s="17" t="s">
        <v>86</v>
      </c>
      <c r="D128" s="17" t="s">
        <v>87</v>
      </c>
      <c r="E128" s="17" t="s">
        <v>64</v>
      </c>
      <c r="F128" s="17" t="s">
        <v>65</v>
      </c>
      <c r="G128" s="17" t="s">
        <v>22</v>
      </c>
      <c r="H128" s="17">
        <v>3</v>
      </c>
      <c r="I128" s="19">
        <v>899.99</v>
      </c>
      <c r="J128" s="17" t="s">
        <v>37</v>
      </c>
      <c r="K128" s="17" t="s">
        <v>53</v>
      </c>
      <c r="L128" s="17" t="s">
        <v>25</v>
      </c>
      <c r="M128" s="18">
        <v>45215</v>
      </c>
      <c r="N128" s="19">
        <v>2699.97</v>
      </c>
      <c r="O128" s="20">
        <f t="shared" si="2"/>
        <v>45566</v>
      </c>
      <c r="P128" s="21">
        <f t="shared" si="3"/>
        <v>0</v>
      </c>
      <c r="Q128" s="22">
        <f>IF(AND(OR(Analysis!$C$5="All",K128=Analysis!$C$5),OR(Analysis!$C$6="All",G128=Analysis!$C$6)),MAX(Q$1:Q127)+1,"")</f>
        <v>127</v>
      </c>
    </row>
    <row r="129" spans="1:17" ht="15.75" customHeight="1" x14ac:dyDescent="0.35">
      <c r="A129" s="17" t="s">
        <v>271</v>
      </c>
      <c r="B129" s="18">
        <v>45581</v>
      </c>
      <c r="C129" s="17" t="s">
        <v>99</v>
      </c>
      <c r="D129" s="17" t="s">
        <v>100</v>
      </c>
      <c r="E129" s="17" t="s">
        <v>83</v>
      </c>
      <c r="F129" s="17" t="s">
        <v>84</v>
      </c>
      <c r="G129" s="17" t="s">
        <v>22</v>
      </c>
      <c r="H129" s="17">
        <v>5</v>
      </c>
      <c r="I129" s="19">
        <v>699.99</v>
      </c>
      <c r="J129" s="17" t="s">
        <v>23</v>
      </c>
      <c r="K129" s="17" t="s">
        <v>66</v>
      </c>
      <c r="L129" s="17" t="s">
        <v>39</v>
      </c>
      <c r="M129" s="18">
        <v>45008</v>
      </c>
      <c r="N129" s="19">
        <v>3499.95</v>
      </c>
      <c r="O129" s="20">
        <f t="shared" si="2"/>
        <v>45566</v>
      </c>
      <c r="P129" s="21">
        <f t="shared" si="3"/>
        <v>1</v>
      </c>
      <c r="Q129" s="22">
        <f>IF(AND(OR(Analysis!$C$5="All",K129=Analysis!$C$5),OR(Analysis!$C$6="All",G129=Analysis!$C$6)),MAX(Q$1:Q128)+1,"")</f>
        <v>128</v>
      </c>
    </row>
    <row r="130" spans="1:17" ht="15.75" customHeight="1" x14ac:dyDescent="0.35">
      <c r="A130" s="17" t="s">
        <v>272</v>
      </c>
      <c r="B130" s="18">
        <v>45581</v>
      </c>
      <c r="C130" s="17" t="s">
        <v>174</v>
      </c>
      <c r="D130" s="17" t="s">
        <v>175</v>
      </c>
      <c r="E130" s="17" t="s">
        <v>83</v>
      </c>
      <c r="F130" s="17" t="s">
        <v>84</v>
      </c>
      <c r="G130" s="17" t="s">
        <v>22</v>
      </c>
      <c r="H130" s="17">
        <v>4</v>
      </c>
      <c r="I130" s="19">
        <v>699.99</v>
      </c>
      <c r="J130" s="17" t="s">
        <v>29</v>
      </c>
      <c r="K130" s="17" t="s">
        <v>24</v>
      </c>
      <c r="L130" s="17" t="s">
        <v>25</v>
      </c>
      <c r="M130" s="18">
        <v>45385</v>
      </c>
      <c r="N130" s="19">
        <v>2799.96</v>
      </c>
      <c r="O130" s="20">
        <f t="shared" ref="O130:O193" si="4">DATE(YEAR(B130),MONTH(B130),1)</f>
        <v>45566</v>
      </c>
      <c r="P130" s="21">
        <f t="shared" ref="P130:P193" si="5">DATEDIF(M130,B130,"Y")</f>
        <v>0</v>
      </c>
      <c r="Q130" s="22">
        <f>IF(AND(OR(Analysis!$C$5="All",K130=Analysis!$C$5),OR(Analysis!$C$6="All",G130=Analysis!$C$6)),MAX(Q$1:Q129)+1,"")</f>
        <v>129</v>
      </c>
    </row>
    <row r="131" spans="1:17" ht="15.75" customHeight="1" x14ac:dyDescent="0.35">
      <c r="A131" s="17" t="s">
        <v>273</v>
      </c>
      <c r="B131" s="18">
        <v>45581</v>
      </c>
      <c r="C131" s="17" t="s">
        <v>153</v>
      </c>
      <c r="D131" s="17" t="s">
        <v>154</v>
      </c>
      <c r="E131" s="17" t="s">
        <v>64</v>
      </c>
      <c r="F131" s="17" t="s">
        <v>65</v>
      </c>
      <c r="G131" s="17" t="s">
        <v>22</v>
      </c>
      <c r="H131" s="17">
        <v>1</v>
      </c>
      <c r="I131" s="19">
        <v>899.99</v>
      </c>
      <c r="J131" s="17" t="s">
        <v>29</v>
      </c>
      <c r="K131" s="17" t="s">
        <v>66</v>
      </c>
      <c r="L131" s="17" t="s">
        <v>39</v>
      </c>
      <c r="M131" s="18">
        <v>45369</v>
      </c>
      <c r="N131" s="19">
        <v>899.99</v>
      </c>
      <c r="O131" s="20">
        <f t="shared" si="4"/>
        <v>45566</v>
      </c>
      <c r="P131" s="21">
        <f t="shared" si="5"/>
        <v>0</v>
      </c>
      <c r="Q131" s="22">
        <f>IF(AND(OR(Analysis!$C$5="All",K131=Analysis!$C$5),OR(Analysis!$C$6="All",G131=Analysis!$C$6)),MAX(Q$1:Q130)+1,"")</f>
        <v>130</v>
      </c>
    </row>
    <row r="132" spans="1:17" ht="15.75" customHeight="1" x14ac:dyDescent="0.35">
      <c r="A132" s="17" t="s">
        <v>274</v>
      </c>
      <c r="B132" s="18">
        <v>45583</v>
      </c>
      <c r="C132" s="17" t="s">
        <v>229</v>
      </c>
      <c r="D132" s="17" t="s">
        <v>230</v>
      </c>
      <c r="E132" s="17" t="s">
        <v>55</v>
      </c>
      <c r="F132" s="17" t="s">
        <v>56</v>
      </c>
      <c r="G132" s="17" t="s">
        <v>22</v>
      </c>
      <c r="H132" s="17">
        <v>2</v>
      </c>
      <c r="I132" s="19">
        <v>149.99</v>
      </c>
      <c r="J132" s="17" t="s">
        <v>29</v>
      </c>
      <c r="K132" s="17" t="s">
        <v>53</v>
      </c>
      <c r="L132" s="17" t="s">
        <v>25</v>
      </c>
      <c r="M132" s="18">
        <v>44916</v>
      </c>
      <c r="N132" s="19">
        <v>299.98</v>
      </c>
      <c r="O132" s="20">
        <f t="shared" si="4"/>
        <v>45566</v>
      </c>
      <c r="P132" s="21">
        <f t="shared" si="5"/>
        <v>1</v>
      </c>
      <c r="Q132" s="22">
        <f>IF(AND(OR(Analysis!$C$5="All",K132=Analysis!$C$5),OR(Analysis!$C$6="All",G132=Analysis!$C$6)),MAX(Q$1:Q131)+1,"")</f>
        <v>131</v>
      </c>
    </row>
    <row r="133" spans="1:17" ht="15.75" customHeight="1" x14ac:dyDescent="0.35">
      <c r="A133" s="17" t="s">
        <v>275</v>
      </c>
      <c r="B133" s="18">
        <v>45586</v>
      </c>
      <c r="C133" s="17" t="s">
        <v>229</v>
      </c>
      <c r="D133" s="17" t="s">
        <v>230</v>
      </c>
      <c r="E133" s="17" t="s">
        <v>120</v>
      </c>
      <c r="F133" s="17" t="s">
        <v>121</v>
      </c>
      <c r="G133" s="17" t="s">
        <v>22</v>
      </c>
      <c r="H133" s="17">
        <v>3</v>
      </c>
      <c r="I133" s="19">
        <v>89.99</v>
      </c>
      <c r="J133" s="17" t="s">
        <v>37</v>
      </c>
      <c r="K133" s="17" t="s">
        <v>24</v>
      </c>
      <c r="L133" s="17" t="s">
        <v>25</v>
      </c>
      <c r="M133" s="18">
        <v>44551</v>
      </c>
      <c r="N133" s="19">
        <v>269.97000000000003</v>
      </c>
      <c r="O133" s="20">
        <f t="shared" si="4"/>
        <v>45566</v>
      </c>
      <c r="P133" s="21">
        <f t="shared" si="5"/>
        <v>2</v>
      </c>
      <c r="Q133" s="22">
        <f>IF(AND(OR(Analysis!$C$5="All",K133=Analysis!$C$5),OR(Analysis!$C$6="All",G133=Analysis!$C$6)),MAX(Q$1:Q132)+1,"")</f>
        <v>132</v>
      </c>
    </row>
    <row r="134" spans="1:17" ht="15.75" customHeight="1" x14ac:dyDescent="0.35">
      <c r="A134" s="17" t="s">
        <v>276</v>
      </c>
      <c r="B134" s="18">
        <v>45588</v>
      </c>
      <c r="C134" s="17" t="s">
        <v>41</v>
      </c>
      <c r="D134" s="17" t="s">
        <v>42</v>
      </c>
      <c r="E134" s="17" t="s">
        <v>55</v>
      </c>
      <c r="F134" s="17" t="s">
        <v>56</v>
      </c>
      <c r="G134" s="17" t="s">
        <v>22</v>
      </c>
      <c r="H134" s="17">
        <v>2</v>
      </c>
      <c r="I134" s="19">
        <v>149.99</v>
      </c>
      <c r="J134" s="17" t="s">
        <v>37</v>
      </c>
      <c r="K134" s="17" t="s">
        <v>24</v>
      </c>
      <c r="L134" s="17" t="s">
        <v>25</v>
      </c>
      <c r="M134" s="18">
        <v>44473</v>
      </c>
      <c r="N134" s="19">
        <v>299.98</v>
      </c>
      <c r="O134" s="20">
        <f t="shared" si="4"/>
        <v>45566</v>
      </c>
      <c r="P134" s="21">
        <f t="shared" si="5"/>
        <v>3</v>
      </c>
      <c r="Q134" s="22">
        <f>IF(AND(OR(Analysis!$C$5="All",K134=Analysis!$C$5),OR(Analysis!$C$6="All",G134=Analysis!$C$6)),MAX(Q$1:Q133)+1,"")</f>
        <v>133</v>
      </c>
    </row>
    <row r="135" spans="1:17" ht="15.75" customHeight="1" x14ac:dyDescent="0.35">
      <c r="A135" s="17" t="s">
        <v>277</v>
      </c>
      <c r="B135" s="18">
        <v>45588</v>
      </c>
      <c r="C135" s="17" t="s">
        <v>157</v>
      </c>
      <c r="D135" s="17" t="s">
        <v>158</v>
      </c>
      <c r="E135" s="17" t="s">
        <v>83</v>
      </c>
      <c r="F135" s="17" t="s">
        <v>84</v>
      </c>
      <c r="G135" s="17" t="s">
        <v>22</v>
      </c>
      <c r="H135" s="17">
        <v>2</v>
      </c>
      <c r="I135" s="19">
        <v>699.99</v>
      </c>
      <c r="J135" s="17" t="s">
        <v>23</v>
      </c>
      <c r="K135" s="17" t="s">
        <v>24</v>
      </c>
      <c r="L135" s="17" t="s">
        <v>25</v>
      </c>
      <c r="M135" s="18">
        <v>44992</v>
      </c>
      <c r="N135" s="19">
        <v>1399.98</v>
      </c>
      <c r="O135" s="20">
        <f t="shared" si="4"/>
        <v>45566</v>
      </c>
      <c r="P135" s="21">
        <f t="shared" si="5"/>
        <v>1</v>
      </c>
      <c r="Q135" s="22">
        <f>IF(AND(OR(Analysis!$C$5="All",K135=Analysis!$C$5),OR(Analysis!$C$6="All",G135=Analysis!$C$6)),MAX(Q$1:Q134)+1,"")</f>
        <v>134</v>
      </c>
    </row>
    <row r="136" spans="1:17" ht="15.75" customHeight="1" x14ac:dyDescent="0.35">
      <c r="A136" s="17" t="s">
        <v>278</v>
      </c>
      <c r="B136" s="18">
        <v>45589</v>
      </c>
      <c r="C136" s="17" t="s">
        <v>161</v>
      </c>
      <c r="D136" s="17" t="s">
        <v>162</v>
      </c>
      <c r="E136" s="17" t="s">
        <v>83</v>
      </c>
      <c r="F136" s="17" t="s">
        <v>84</v>
      </c>
      <c r="G136" s="17" t="s">
        <v>22</v>
      </c>
      <c r="H136" s="17">
        <v>5</v>
      </c>
      <c r="I136" s="19">
        <v>699.99</v>
      </c>
      <c r="J136" s="17" t="s">
        <v>23</v>
      </c>
      <c r="K136" s="17" t="s">
        <v>43</v>
      </c>
      <c r="L136" s="17" t="s">
        <v>30</v>
      </c>
      <c r="M136" s="18">
        <v>44635</v>
      </c>
      <c r="N136" s="19">
        <v>3499.95</v>
      </c>
      <c r="O136" s="20">
        <f t="shared" si="4"/>
        <v>45566</v>
      </c>
      <c r="P136" s="21">
        <f t="shared" si="5"/>
        <v>2</v>
      </c>
      <c r="Q136" s="22">
        <f>IF(AND(OR(Analysis!$C$5="All",K136=Analysis!$C$5),OR(Analysis!$C$6="All",G136=Analysis!$C$6)),MAX(Q$1:Q135)+1,"")</f>
        <v>135</v>
      </c>
    </row>
    <row r="137" spans="1:17" ht="15.75" customHeight="1" x14ac:dyDescent="0.35">
      <c r="A137" s="17" t="s">
        <v>279</v>
      </c>
      <c r="B137" s="18">
        <v>45592</v>
      </c>
      <c r="C137" s="17" t="s">
        <v>174</v>
      </c>
      <c r="D137" s="17" t="s">
        <v>175</v>
      </c>
      <c r="E137" s="17" t="s">
        <v>120</v>
      </c>
      <c r="F137" s="17" t="s">
        <v>121</v>
      </c>
      <c r="G137" s="17" t="s">
        <v>22</v>
      </c>
      <c r="H137" s="17">
        <v>3</v>
      </c>
      <c r="I137" s="19">
        <v>89.99</v>
      </c>
      <c r="J137" s="17" t="s">
        <v>29</v>
      </c>
      <c r="K137" s="17" t="s">
        <v>43</v>
      </c>
      <c r="L137" s="17" t="s">
        <v>39</v>
      </c>
      <c r="M137" s="18">
        <v>44615</v>
      </c>
      <c r="N137" s="19">
        <v>269.97000000000003</v>
      </c>
      <c r="O137" s="20">
        <f t="shared" si="4"/>
        <v>45566</v>
      </c>
      <c r="P137" s="21">
        <f t="shared" si="5"/>
        <v>2</v>
      </c>
      <c r="Q137" s="22">
        <f>IF(AND(OR(Analysis!$C$5="All",K137=Analysis!$C$5),OR(Analysis!$C$6="All",G137=Analysis!$C$6)),MAX(Q$1:Q136)+1,"")</f>
        <v>136</v>
      </c>
    </row>
    <row r="138" spans="1:17" ht="15.75" customHeight="1" x14ac:dyDescent="0.35">
      <c r="A138" s="17" t="s">
        <v>280</v>
      </c>
      <c r="B138" s="18">
        <v>45597</v>
      </c>
      <c r="C138" s="17" t="s">
        <v>18</v>
      </c>
      <c r="D138" s="17" t="s">
        <v>19</v>
      </c>
      <c r="E138" s="17" t="s">
        <v>20</v>
      </c>
      <c r="F138" s="17" t="s">
        <v>21</v>
      </c>
      <c r="G138" s="17" t="s">
        <v>22</v>
      </c>
      <c r="H138" s="17">
        <v>5</v>
      </c>
      <c r="I138" s="19">
        <v>249.99</v>
      </c>
      <c r="J138" s="17" t="s">
        <v>29</v>
      </c>
      <c r="K138" s="17" t="s">
        <v>38</v>
      </c>
      <c r="L138" s="17" t="s">
        <v>39</v>
      </c>
      <c r="M138" s="18">
        <v>44881</v>
      </c>
      <c r="N138" s="19">
        <v>1249.95</v>
      </c>
      <c r="O138" s="20">
        <f t="shared" si="4"/>
        <v>45597</v>
      </c>
      <c r="P138" s="21">
        <f t="shared" si="5"/>
        <v>1</v>
      </c>
      <c r="Q138" s="22">
        <f>IF(AND(OR(Analysis!$C$5="All",K138=Analysis!$C$5),OR(Analysis!$C$6="All",G138=Analysis!$C$6)),MAX(Q$1:Q137)+1,"")</f>
        <v>137</v>
      </c>
    </row>
    <row r="139" spans="1:17" ht="15.75" customHeight="1" x14ac:dyDescent="0.35">
      <c r="A139" s="17" t="s">
        <v>281</v>
      </c>
      <c r="B139" s="18">
        <v>45600</v>
      </c>
      <c r="C139" s="17" t="s">
        <v>68</v>
      </c>
      <c r="D139" s="17" t="s">
        <v>69</v>
      </c>
      <c r="E139" s="17" t="s">
        <v>108</v>
      </c>
      <c r="F139" s="17" t="s">
        <v>109</v>
      </c>
      <c r="G139" s="17" t="s">
        <v>49</v>
      </c>
      <c r="H139" s="17">
        <v>3</v>
      </c>
      <c r="I139" s="19">
        <v>299.99</v>
      </c>
      <c r="J139" s="17" t="s">
        <v>29</v>
      </c>
      <c r="K139" s="17" t="s">
        <v>38</v>
      </c>
      <c r="L139" s="17" t="s">
        <v>39</v>
      </c>
      <c r="M139" s="18">
        <v>44502</v>
      </c>
      <c r="N139" s="19">
        <v>899.97</v>
      </c>
      <c r="O139" s="20">
        <f t="shared" si="4"/>
        <v>45597</v>
      </c>
      <c r="P139" s="21">
        <f t="shared" si="5"/>
        <v>3</v>
      </c>
      <c r="Q139" s="22">
        <f>IF(AND(OR(Analysis!$C$5="All",K139=Analysis!$C$5),OR(Analysis!$C$6="All",G139=Analysis!$C$6)),MAX(Q$1:Q138)+1,"")</f>
        <v>138</v>
      </c>
    </row>
    <row r="140" spans="1:17" ht="15.75" customHeight="1" x14ac:dyDescent="0.35">
      <c r="A140" s="17" t="s">
        <v>282</v>
      </c>
      <c r="B140" s="18">
        <v>45603</v>
      </c>
      <c r="C140" s="17" t="s">
        <v>102</v>
      </c>
      <c r="D140" s="17" t="s">
        <v>103</v>
      </c>
      <c r="E140" s="17" t="s">
        <v>120</v>
      </c>
      <c r="F140" s="17" t="s">
        <v>121</v>
      </c>
      <c r="G140" s="17" t="s">
        <v>22</v>
      </c>
      <c r="H140" s="17">
        <v>3</v>
      </c>
      <c r="I140" s="19">
        <v>89.99</v>
      </c>
      <c r="J140" s="17" t="s">
        <v>29</v>
      </c>
      <c r="K140" s="17" t="s">
        <v>43</v>
      </c>
      <c r="L140" s="17" t="s">
        <v>30</v>
      </c>
      <c r="M140" s="18">
        <v>44420</v>
      </c>
      <c r="N140" s="19">
        <v>269.97000000000003</v>
      </c>
      <c r="O140" s="20">
        <f t="shared" si="4"/>
        <v>45597</v>
      </c>
      <c r="P140" s="21">
        <f t="shared" si="5"/>
        <v>3</v>
      </c>
      <c r="Q140" s="22">
        <f>IF(AND(OR(Analysis!$C$5="All",K140=Analysis!$C$5),OR(Analysis!$C$6="All",G140=Analysis!$C$6)),MAX(Q$1:Q139)+1,"")</f>
        <v>139</v>
      </c>
    </row>
    <row r="141" spans="1:17" ht="15.75" customHeight="1" x14ac:dyDescent="0.35">
      <c r="A141" s="17" t="s">
        <v>283</v>
      </c>
      <c r="B141" s="18">
        <v>45604</v>
      </c>
      <c r="C141" s="17" t="s">
        <v>92</v>
      </c>
      <c r="D141" s="17" t="s">
        <v>93</v>
      </c>
      <c r="E141" s="17" t="s">
        <v>47</v>
      </c>
      <c r="F141" s="17" t="s">
        <v>48</v>
      </c>
      <c r="G141" s="17" t="s">
        <v>49</v>
      </c>
      <c r="H141" s="17">
        <v>2</v>
      </c>
      <c r="I141" s="19">
        <v>149.99</v>
      </c>
      <c r="J141" s="17" t="s">
        <v>29</v>
      </c>
      <c r="K141" s="17" t="s">
        <v>53</v>
      </c>
      <c r="L141" s="17" t="s">
        <v>30</v>
      </c>
      <c r="M141" s="18">
        <v>44848</v>
      </c>
      <c r="N141" s="19">
        <v>299.98</v>
      </c>
      <c r="O141" s="20">
        <f t="shared" si="4"/>
        <v>45597</v>
      </c>
      <c r="P141" s="21">
        <f t="shared" si="5"/>
        <v>2</v>
      </c>
      <c r="Q141" s="22">
        <f>IF(AND(OR(Analysis!$C$5="All",K141=Analysis!$C$5),OR(Analysis!$C$6="All",G141=Analysis!$C$6)),MAX(Q$1:Q140)+1,"")</f>
        <v>140</v>
      </c>
    </row>
    <row r="142" spans="1:17" ht="15.75" customHeight="1" x14ac:dyDescent="0.35">
      <c r="A142" s="17" t="s">
        <v>284</v>
      </c>
      <c r="B142" s="18">
        <v>45605</v>
      </c>
      <c r="C142" s="17" t="s">
        <v>188</v>
      </c>
      <c r="D142" s="17" t="s">
        <v>189</v>
      </c>
      <c r="E142" s="17" t="s">
        <v>20</v>
      </c>
      <c r="F142" s="17" t="s">
        <v>21</v>
      </c>
      <c r="G142" s="17" t="s">
        <v>22</v>
      </c>
      <c r="H142" s="17">
        <v>1</v>
      </c>
      <c r="I142" s="19">
        <v>249.99</v>
      </c>
      <c r="J142" s="17" t="s">
        <v>29</v>
      </c>
      <c r="K142" s="17" t="s">
        <v>43</v>
      </c>
      <c r="L142" s="17" t="s">
        <v>30</v>
      </c>
      <c r="M142" s="18">
        <v>44828</v>
      </c>
      <c r="N142" s="19">
        <v>249.99</v>
      </c>
      <c r="O142" s="20">
        <f t="shared" si="4"/>
        <v>45597</v>
      </c>
      <c r="P142" s="21">
        <f t="shared" si="5"/>
        <v>2</v>
      </c>
      <c r="Q142" s="22">
        <f>IF(AND(OR(Analysis!$C$5="All",K142=Analysis!$C$5),OR(Analysis!$C$6="All",G142=Analysis!$C$6)),MAX(Q$1:Q141)+1,"")</f>
        <v>141</v>
      </c>
    </row>
    <row r="143" spans="1:17" ht="15.75" customHeight="1" x14ac:dyDescent="0.35">
      <c r="A143" s="17" t="s">
        <v>285</v>
      </c>
      <c r="B143" s="18">
        <v>45607</v>
      </c>
      <c r="C143" s="17" t="s">
        <v>75</v>
      </c>
      <c r="D143" s="17" t="s">
        <v>76</v>
      </c>
      <c r="E143" s="17" t="s">
        <v>55</v>
      </c>
      <c r="F143" s="17" t="s">
        <v>56</v>
      </c>
      <c r="G143" s="17" t="s">
        <v>22</v>
      </c>
      <c r="H143" s="17">
        <v>3</v>
      </c>
      <c r="I143" s="19">
        <v>149.99</v>
      </c>
      <c r="J143" s="17" t="s">
        <v>23</v>
      </c>
      <c r="K143" s="17" t="s">
        <v>43</v>
      </c>
      <c r="L143" s="17" t="s">
        <v>25</v>
      </c>
      <c r="M143" s="18">
        <v>44769</v>
      </c>
      <c r="N143" s="19">
        <v>449.97</v>
      </c>
      <c r="O143" s="20">
        <f t="shared" si="4"/>
        <v>45597</v>
      </c>
      <c r="P143" s="21">
        <f t="shared" si="5"/>
        <v>2</v>
      </c>
      <c r="Q143" s="22">
        <f>IF(AND(OR(Analysis!$C$5="All",K143=Analysis!$C$5),OR(Analysis!$C$6="All",G143=Analysis!$C$6)),MAX(Q$1:Q142)+1,"")</f>
        <v>142</v>
      </c>
    </row>
    <row r="144" spans="1:17" ht="15.75" customHeight="1" x14ac:dyDescent="0.35">
      <c r="A144" s="17" t="s">
        <v>286</v>
      </c>
      <c r="B144" s="18">
        <v>45607</v>
      </c>
      <c r="C144" s="17" t="s">
        <v>18</v>
      </c>
      <c r="D144" s="17" t="s">
        <v>19</v>
      </c>
      <c r="E144" s="17" t="s">
        <v>34</v>
      </c>
      <c r="F144" s="17" t="s">
        <v>35</v>
      </c>
      <c r="G144" s="17" t="s">
        <v>36</v>
      </c>
      <c r="H144" s="17">
        <v>5</v>
      </c>
      <c r="I144" s="19">
        <v>59.99</v>
      </c>
      <c r="J144" s="17" t="s">
        <v>37</v>
      </c>
      <c r="K144" s="17" t="s">
        <v>53</v>
      </c>
      <c r="L144" s="17" t="s">
        <v>30</v>
      </c>
      <c r="M144" s="18">
        <v>44694</v>
      </c>
      <c r="N144" s="19">
        <v>299.95</v>
      </c>
      <c r="O144" s="20">
        <f t="shared" si="4"/>
        <v>45597</v>
      </c>
      <c r="P144" s="21">
        <f t="shared" si="5"/>
        <v>2</v>
      </c>
      <c r="Q144" s="22">
        <f>IF(AND(OR(Analysis!$C$5="All",K144=Analysis!$C$5),OR(Analysis!$C$6="All",G144=Analysis!$C$6)),MAX(Q$1:Q143)+1,"")</f>
        <v>143</v>
      </c>
    </row>
    <row r="145" spans="1:17" ht="15.75" customHeight="1" x14ac:dyDescent="0.35">
      <c r="A145" s="17" t="s">
        <v>287</v>
      </c>
      <c r="B145" s="18">
        <v>45607</v>
      </c>
      <c r="C145" s="17" t="s">
        <v>102</v>
      </c>
      <c r="D145" s="17" t="s">
        <v>103</v>
      </c>
      <c r="E145" s="17" t="s">
        <v>20</v>
      </c>
      <c r="F145" s="17" t="s">
        <v>21</v>
      </c>
      <c r="G145" s="17" t="s">
        <v>22</v>
      </c>
      <c r="H145" s="17">
        <v>4</v>
      </c>
      <c r="I145" s="19">
        <v>249.99</v>
      </c>
      <c r="J145" s="17" t="s">
        <v>29</v>
      </c>
      <c r="K145" s="17" t="s">
        <v>53</v>
      </c>
      <c r="L145" s="17" t="s">
        <v>39</v>
      </c>
      <c r="M145" s="18">
        <v>44659</v>
      </c>
      <c r="N145" s="19">
        <v>999.96</v>
      </c>
      <c r="O145" s="20">
        <f t="shared" si="4"/>
        <v>45597</v>
      </c>
      <c r="P145" s="21">
        <f t="shared" si="5"/>
        <v>2</v>
      </c>
      <c r="Q145" s="22">
        <f>IF(AND(OR(Analysis!$C$5="All",K145=Analysis!$C$5),OR(Analysis!$C$6="All",G145=Analysis!$C$6)),MAX(Q$1:Q144)+1,"")</f>
        <v>144</v>
      </c>
    </row>
    <row r="146" spans="1:17" ht="15.75" customHeight="1" x14ac:dyDescent="0.35">
      <c r="A146" s="17" t="s">
        <v>288</v>
      </c>
      <c r="B146" s="18">
        <v>45608</v>
      </c>
      <c r="C146" s="17" t="s">
        <v>157</v>
      </c>
      <c r="D146" s="17" t="s">
        <v>158</v>
      </c>
      <c r="E146" s="17" t="s">
        <v>47</v>
      </c>
      <c r="F146" s="17" t="s">
        <v>48</v>
      </c>
      <c r="G146" s="17" t="s">
        <v>49</v>
      </c>
      <c r="H146" s="17">
        <v>5</v>
      </c>
      <c r="I146" s="19">
        <v>149.99</v>
      </c>
      <c r="J146" s="17" t="s">
        <v>37</v>
      </c>
      <c r="K146" s="17" t="s">
        <v>24</v>
      </c>
      <c r="L146" s="17" t="s">
        <v>25</v>
      </c>
      <c r="M146" s="18">
        <v>44901</v>
      </c>
      <c r="N146" s="19">
        <v>749.95</v>
      </c>
      <c r="O146" s="20">
        <f t="shared" si="4"/>
        <v>45597</v>
      </c>
      <c r="P146" s="21">
        <f t="shared" si="5"/>
        <v>1</v>
      </c>
      <c r="Q146" s="22">
        <f>IF(AND(OR(Analysis!$C$5="All",K146=Analysis!$C$5),OR(Analysis!$C$6="All",G146=Analysis!$C$6)),MAX(Q$1:Q145)+1,"")</f>
        <v>145</v>
      </c>
    </row>
    <row r="147" spans="1:17" ht="15.75" customHeight="1" x14ac:dyDescent="0.35">
      <c r="A147" s="17" t="s">
        <v>289</v>
      </c>
      <c r="B147" s="18">
        <v>45608</v>
      </c>
      <c r="C147" s="17" t="s">
        <v>86</v>
      </c>
      <c r="D147" s="17" t="s">
        <v>87</v>
      </c>
      <c r="E147" s="17" t="s">
        <v>34</v>
      </c>
      <c r="F147" s="17" t="s">
        <v>35</v>
      </c>
      <c r="G147" s="17" t="s">
        <v>36</v>
      </c>
      <c r="H147" s="17">
        <v>3</v>
      </c>
      <c r="I147" s="19">
        <v>59.99</v>
      </c>
      <c r="J147" s="17" t="s">
        <v>60</v>
      </c>
      <c r="K147" s="17" t="s">
        <v>38</v>
      </c>
      <c r="L147" s="17" t="s">
        <v>39</v>
      </c>
      <c r="M147" s="18">
        <v>45260</v>
      </c>
      <c r="N147" s="19">
        <v>179.97</v>
      </c>
      <c r="O147" s="20">
        <f t="shared" si="4"/>
        <v>45597</v>
      </c>
      <c r="P147" s="21">
        <f t="shared" si="5"/>
        <v>0</v>
      </c>
      <c r="Q147" s="22">
        <f>IF(AND(OR(Analysis!$C$5="All",K147=Analysis!$C$5),OR(Analysis!$C$6="All",G147=Analysis!$C$6)),MAX(Q$1:Q146)+1,"")</f>
        <v>146</v>
      </c>
    </row>
    <row r="148" spans="1:17" ht="15.75" customHeight="1" x14ac:dyDescent="0.35">
      <c r="A148" s="17" t="s">
        <v>290</v>
      </c>
      <c r="B148" s="18">
        <v>45613</v>
      </c>
      <c r="C148" s="17" t="s">
        <v>237</v>
      </c>
      <c r="D148" s="17" t="s">
        <v>238</v>
      </c>
      <c r="E148" s="17" t="s">
        <v>47</v>
      </c>
      <c r="F148" s="17" t="s">
        <v>48</v>
      </c>
      <c r="G148" s="17" t="s">
        <v>49</v>
      </c>
      <c r="H148" s="17">
        <v>5</v>
      </c>
      <c r="I148" s="19">
        <v>149.99</v>
      </c>
      <c r="J148" s="17" t="s">
        <v>23</v>
      </c>
      <c r="K148" s="17" t="s">
        <v>43</v>
      </c>
      <c r="L148" s="17" t="s">
        <v>25</v>
      </c>
      <c r="M148" s="18">
        <v>44869</v>
      </c>
      <c r="N148" s="19">
        <v>749.95</v>
      </c>
      <c r="O148" s="20">
        <f t="shared" si="4"/>
        <v>45597</v>
      </c>
      <c r="P148" s="21">
        <f t="shared" si="5"/>
        <v>2</v>
      </c>
      <c r="Q148" s="22">
        <f>IF(AND(OR(Analysis!$C$5="All",K148=Analysis!$C$5),OR(Analysis!$C$6="All",G148=Analysis!$C$6)),MAX(Q$1:Q147)+1,"")</f>
        <v>147</v>
      </c>
    </row>
    <row r="149" spans="1:17" ht="15.75" customHeight="1" x14ac:dyDescent="0.35">
      <c r="A149" s="17" t="s">
        <v>291</v>
      </c>
      <c r="B149" s="18">
        <v>45613</v>
      </c>
      <c r="C149" s="17" t="s">
        <v>89</v>
      </c>
      <c r="D149" s="17" t="s">
        <v>90</v>
      </c>
      <c r="E149" s="17" t="s">
        <v>83</v>
      </c>
      <c r="F149" s="17" t="s">
        <v>84</v>
      </c>
      <c r="G149" s="17" t="s">
        <v>22</v>
      </c>
      <c r="H149" s="17">
        <v>2</v>
      </c>
      <c r="I149" s="19">
        <v>699.99</v>
      </c>
      <c r="J149" s="17" t="s">
        <v>37</v>
      </c>
      <c r="K149" s="17" t="s">
        <v>53</v>
      </c>
      <c r="L149" s="17" t="s">
        <v>39</v>
      </c>
      <c r="M149" s="18">
        <v>44770</v>
      </c>
      <c r="N149" s="19">
        <v>1399.98</v>
      </c>
      <c r="O149" s="20">
        <f t="shared" si="4"/>
        <v>45597</v>
      </c>
      <c r="P149" s="21">
        <f t="shared" si="5"/>
        <v>2</v>
      </c>
      <c r="Q149" s="22">
        <f>IF(AND(OR(Analysis!$C$5="All",K149=Analysis!$C$5),OR(Analysis!$C$6="All",G149=Analysis!$C$6)),MAX(Q$1:Q148)+1,"")</f>
        <v>148</v>
      </c>
    </row>
    <row r="150" spans="1:17" ht="15.75" customHeight="1" x14ac:dyDescent="0.35">
      <c r="A150" s="17" t="s">
        <v>292</v>
      </c>
      <c r="B150" s="18">
        <v>45617</v>
      </c>
      <c r="C150" s="17" t="s">
        <v>126</v>
      </c>
      <c r="D150" s="17" t="s">
        <v>127</v>
      </c>
      <c r="E150" s="17" t="s">
        <v>129</v>
      </c>
      <c r="F150" s="17" t="s">
        <v>130</v>
      </c>
      <c r="G150" s="17" t="s">
        <v>49</v>
      </c>
      <c r="H150" s="17">
        <v>4</v>
      </c>
      <c r="I150" s="19">
        <v>199.99</v>
      </c>
      <c r="J150" s="17" t="s">
        <v>60</v>
      </c>
      <c r="K150" s="17" t="s">
        <v>24</v>
      </c>
      <c r="L150" s="17" t="s">
        <v>30</v>
      </c>
      <c r="M150" s="18">
        <v>44427</v>
      </c>
      <c r="N150" s="19">
        <v>799.96</v>
      </c>
      <c r="O150" s="20">
        <f t="shared" si="4"/>
        <v>45597</v>
      </c>
      <c r="P150" s="21">
        <f t="shared" si="5"/>
        <v>3</v>
      </c>
      <c r="Q150" s="22">
        <f>IF(AND(OR(Analysis!$C$5="All",K150=Analysis!$C$5),OR(Analysis!$C$6="All",G150=Analysis!$C$6)),MAX(Q$1:Q149)+1,"")</f>
        <v>149</v>
      </c>
    </row>
    <row r="151" spans="1:17" ht="15.75" customHeight="1" x14ac:dyDescent="0.35">
      <c r="A151" s="17" t="s">
        <v>293</v>
      </c>
      <c r="B151" s="18">
        <v>45619</v>
      </c>
      <c r="C151" s="17" t="s">
        <v>195</v>
      </c>
      <c r="D151" s="17" t="s">
        <v>196</v>
      </c>
      <c r="E151" s="17" t="s">
        <v>34</v>
      </c>
      <c r="F151" s="17" t="s">
        <v>35</v>
      </c>
      <c r="G151" s="17" t="s">
        <v>36</v>
      </c>
      <c r="H151" s="17">
        <v>1</v>
      </c>
      <c r="I151" s="19">
        <v>59.99</v>
      </c>
      <c r="J151" s="17" t="s">
        <v>60</v>
      </c>
      <c r="K151" s="17" t="s">
        <v>53</v>
      </c>
      <c r="L151" s="17" t="s">
        <v>39</v>
      </c>
      <c r="M151" s="18">
        <v>44560</v>
      </c>
      <c r="N151" s="19">
        <v>59.99</v>
      </c>
      <c r="O151" s="20">
        <f t="shared" si="4"/>
        <v>45597</v>
      </c>
      <c r="P151" s="21">
        <f t="shared" si="5"/>
        <v>2</v>
      </c>
      <c r="Q151" s="22">
        <f>IF(AND(OR(Analysis!$C$5="All",K151=Analysis!$C$5),OR(Analysis!$C$6="All",G151=Analysis!$C$6)),MAX(Q$1:Q150)+1,"")</f>
        <v>150</v>
      </c>
    </row>
    <row r="152" spans="1:17" ht="15.75" customHeight="1" x14ac:dyDescent="0.35">
      <c r="A152" s="17" t="s">
        <v>294</v>
      </c>
      <c r="B152" s="18">
        <v>45619</v>
      </c>
      <c r="C152" s="17" t="s">
        <v>157</v>
      </c>
      <c r="D152" s="17" t="s">
        <v>158</v>
      </c>
      <c r="E152" s="17" t="s">
        <v>83</v>
      </c>
      <c r="F152" s="17" t="s">
        <v>84</v>
      </c>
      <c r="G152" s="17" t="s">
        <v>22</v>
      </c>
      <c r="H152" s="17">
        <v>3</v>
      </c>
      <c r="I152" s="19">
        <v>699.99</v>
      </c>
      <c r="J152" s="17" t="s">
        <v>37</v>
      </c>
      <c r="K152" s="17" t="s">
        <v>53</v>
      </c>
      <c r="L152" s="17" t="s">
        <v>39</v>
      </c>
      <c r="M152" s="18">
        <v>44583</v>
      </c>
      <c r="N152" s="19">
        <v>2099.9699999999998</v>
      </c>
      <c r="O152" s="20">
        <f t="shared" si="4"/>
        <v>45597</v>
      </c>
      <c r="P152" s="21">
        <f t="shared" si="5"/>
        <v>2</v>
      </c>
      <c r="Q152" s="22">
        <f>IF(AND(OR(Analysis!$C$5="All",K152=Analysis!$C$5),OR(Analysis!$C$6="All",G152=Analysis!$C$6)),MAX(Q$1:Q151)+1,"")</f>
        <v>151</v>
      </c>
    </row>
    <row r="153" spans="1:17" ht="15.75" customHeight="1" x14ac:dyDescent="0.35">
      <c r="A153" s="17" t="s">
        <v>295</v>
      </c>
      <c r="B153" s="18">
        <v>45622</v>
      </c>
      <c r="C153" s="17" t="s">
        <v>296</v>
      </c>
      <c r="D153" s="17" t="s">
        <v>297</v>
      </c>
      <c r="E153" s="17" t="s">
        <v>20</v>
      </c>
      <c r="F153" s="17" t="s">
        <v>21</v>
      </c>
      <c r="G153" s="17" t="s">
        <v>22</v>
      </c>
      <c r="H153" s="17">
        <v>5</v>
      </c>
      <c r="I153" s="19">
        <v>249.99</v>
      </c>
      <c r="J153" s="17" t="s">
        <v>29</v>
      </c>
      <c r="K153" s="17" t="s">
        <v>43</v>
      </c>
      <c r="L153" s="17" t="s">
        <v>25</v>
      </c>
      <c r="M153" s="18">
        <v>44873</v>
      </c>
      <c r="N153" s="19">
        <v>1249.95</v>
      </c>
      <c r="O153" s="20">
        <f t="shared" si="4"/>
        <v>45597</v>
      </c>
      <c r="P153" s="21">
        <f t="shared" si="5"/>
        <v>2</v>
      </c>
      <c r="Q153" s="22">
        <f>IF(AND(OR(Analysis!$C$5="All",K153=Analysis!$C$5),OR(Analysis!$C$6="All",G153=Analysis!$C$6)),MAX(Q$1:Q152)+1,"")</f>
        <v>152</v>
      </c>
    </row>
    <row r="154" spans="1:17" ht="15.75" customHeight="1" x14ac:dyDescent="0.35">
      <c r="A154" s="17" t="s">
        <v>298</v>
      </c>
      <c r="B154" s="18">
        <v>45623</v>
      </c>
      <c r="C154" s="17" t="s">
        <v>115</v>
      </c>
      <c r="D154" s="17" t="s">
        <v>116</v>
      </c>
      <c r="E154" s="17" t="s">
        <v>47</v>
      </c>
      <c r="F154" s="17" t="s">
        <v>48</v>
      </c>
      <c r="G154" s="17" t="s">
        <v>49</v>
      </c>
      <c r="H154" s="17">
        <v>2</v>
      </c>
      <c r="I154" s="19">
        <v>149.99</v>
      </c>
      <c r="J154" s="17" t="s">
        <v>23</v>
      </c>
      <c r="K154" s="17" t="s">
        <v>38</v>
      </c>
      <c r="L154" s="17" t="s">
        <v>39</v>
      </c>
      <c r="M154" s="18">
        <v>45101</v>
      </c>
      <c r="N154" s="19">
        <v>299.98</v>
      </c>
      <c r="O154" s="20">
        <f t="shared" si="4"/>
        <v>45597</v>
      </c>
      <c r="P154" s="21">
        <f t="shared" si="5"/>
        <v>1</v>
      </c>
      <c r="Q154" s="22">
        <f>IF(AND(OR(Analysis!$C$5="All",K154=Analysis!$C$5),OR(Analysis!$C$6="All",G154=Analysis!$C$6)),MAX(Q$1:Q153)+1,"")</f>
        <v>153</v>
      </c>
    </row>
    <row r="155" spans="1:17" ht="15.75" customHeight="1" x14ac:dyDescent="0.35">
      <c r="A155" s="17" t="s">
        <v>299</v>
      </c>
      <c r="B155" s="18">
        <v>45627</v>
      </c>
      <c r="C155" s="17" t="s">
        <v>32</v>
      </c>
      <c r="D155" s="17" t="s">
        <v>33</v>
      </c>
      <c r="E155" s="17" t="s">
        <v>108</v>
      </c>
      <c r="F155" s="17" t="s">
        <v>109</v>
      </c>
      <c r="G155" s="17" t="s">
        <v>49</v>
      </c>
      <c r="H155" s="17">
        <v>3</v>
      </c>
      <c r="I155" s="19">
        <v>299.99</v>
      </c>
      <c r="J155" s="17" t="s">
        <v>23</v>
      </c>
      <c r="K155" s="17" t="s">
        <v>38</v>
      </c>
      <c r="L155" s="17" t="s">
        <v>30</v>
      </c>
      <c r="M155" s="18">
        <v>44659</v>
      </c>
      <c r="N155" s="19">
        <v>899.97</v>
      </c>
      <c r="O155" s="20">
        <f t="shared" si="4"/>
        <v>45627</v>
      </c>
      <c r="P155" s="21">
        <f t="shared" si="5"/>
        <v>2</v>
      </c>
      <c r="Q155" s="22">
        <f>IF(AND(OR(Analysis!$C$5="All",K155=Analysis!$C$5),OR(Analysis!$C$6="All",G155=Analysis!$C$6)),MAX(Q$1:Q154)+1,"")</f>
        <v>154</v>
      </c>
    </row>
    <row r="156" spans="1:17" ht="15.75" customHeight="1" x14ac:dyDescent="0.35">
      <c r="A156" s="17" t="s">
        <v>300</v>
      </c>
      <c r="B156" s="18">
        <v>45627</v>
      </c>
      <c r="C156" s="17" t="s">
        <v>58</v>
      </c>
      <c r="D156" s="17" t="s">
        <v>59</v>
      </c>
      <c r="E156" s="17" t="s">
        <v>20</v>
      </c>
      <c r="F156" s="17" t="s">
        <v>21</v>
      </c>
      <c r="G156" s="17" t="s">
        <v>22</v>
      </c>
      <c r="H156" s="17">
        <v>5</v>
      </c>
      <c r="I156" s="19">
        <v>249.99</v>
      </c>
      <c r="J156" s="17" t="s">
        <v>23</v>
      </c>
      <c r="K156" s="17" t="s">
        <v>24</v>
      </c>
      <c r="L156" s="17" t="s">
        <v>30</v>
      </c>
      <c r="M156" s="18">
        <v>44485</v>
      </c>
      <c r="N156" s="19">
        <v>1249.95</v>
      </c>
      <c r="O156" s="20">
        <f t="shared" si="4"/>
        <v>45627</v>
      </c>
      <c r="P156" s="21">
        <f t="shared" si="5"/>
        <v>3</v>
      </c>
      <c r="Q156" s="22">
        <f>IF(AND(OR(Analysis!$C$5="All",K156=Analysis!$C$5),OR(Analysis!$C$6="All",G156=Analysis!$C$6)),MAX(Q$1:Q155)+1,"")</f>
        <v>155</v>
      </c>
    </row>
    <row r="157" spans="1:17" ht="15.75" customHeight="1" x14ac:dyDescent="0.35">
      <c r="A157" s="17" t="s">
        <v>301</v>
      </c>
      <c r="B157" s="18">
        <v>45627</v>
      </c>
      <c r="C157" s="17" t="s">
        <v>27</v>
      </c>
      <c r="D157" s="17" t="s">
        <v>28</v>
      </c>
      <c r="E157" s="17" t="s">
        <v>55</v>
      </c>
      <c r="F157" s="17" t="s">
        <v>56</v>
      </c>
      <c r="G157" s="17" t="s">
        <v>22</v>
      </c>
      <c r="H157" s="17">
        <v>2</v>
      </c>
      <c r="I157" s="19">
        <v>149.99</v>
      </c>
      <c r="J157" s="17" t="s">
        <v>23</v>
      </c>
      <c r="K157" s="17" t="s">
        <v>38</v>
      </c>
      <c r="L157" s="17" t="s">
        <v>30</v>
      </c>
      <c r="M157" s="18">
        <v>44475</v>
      </c>
      <c r="N157" s="19">
        <v>299.98</v>
      </c>
      <c r="O157" s="20">
        <f t="shared" si="4"/>
        <v>45627</v>
      </c>
      <c r="P157" s="21">
        <f t="shared" si="5"/>
        <v>3</v>
      </c>
      <c r="Q157" s="22">
        <f>IF(AND(OR(Analysis!$C$5="All",K157=Analysis!$C$5),OR(Analysis!$C$6="All",G157=Analysis!$C$6)),MAX(Q$1:Q156)+1,"")</f>
        <v>156</v>
      </c>
    </row>
    <row r="158" spans="1:17" ht="15.75" customHeight="1" x14ac:dyDescent="0.35">
      <c r="A158" s="17" t="s">
        <v>302</v>
      </c>
      <c r="B158" s="18">
        <v>45627</v>
      </c>
      <c r="C158" s="17" t="s">
        <v>89</v>
      </c>
      <c r="D158" s="17" t="s">
        <v>90</v>
      </c>
      <c r="E158" s="17" t="s">
        <v>83</v>
      </c>
      <c r="F158" s="17" t="s">
        <v>84</v>
      </c>
      <c r="G158" s="17" t="s">
        <v>22</v>
      </c>
      <c r="H158" s="17">
        <v>5</v>
      </c>
      <c r="I158" s="19">
        <v>699.99</v>
      </c>
      <c r="J158" s="17" t="s">
        <v>60</v>
      </c>
      <c r="K158" s="17" t="s">
        <v>53</v>
      </c>
      <c r="L158" s="17" t="s">
        <v>39</v>
      </c>
      <c r="M158" s="18">
        <v>44944</v>
      </c>
      <c r="N158" s="19">
        <v>3499.95</v>
      </c>
      <c r="O158" s="20">
        <f t="shared" si="4"/>
        <v>45627</v>
      </c>
      <c r="P158" s="21">
        <f t="shared" si="5"/>
        <v>1</v>
      </c>
      <c r="Q158" s="22">
        <f>IF(AND(OR(Analysis!$C$5="All",K158=Analysis!$C$5),OR(Analysis!$C$6="All",G158=Analysis!$C$6)),MAX(Q$1:Q157)+1,"")</f>
        <v>157</v>
      </c>
    </row>
    <row r="159" spans="1:17" ht="15.75" customHeight="1" x14ac:dyDescent="0.35">
      <c r="A159" s="17" t="s">
        <v>303</v>
      </c>
      <c r="B159" s="18">
        <v>45629</v>
      </c>
      <c r="C159" s="17" t="s">
        <v>255</v>
      </c>
      <c r="D159" s="17" t="s">
        <v>256</v>
      </c>
      <c r="E159" s="17" t="s">
        <v>20</v>
      </c>
      <c r="F159" s="17" t="s">
        <v>21</v>
      </c>
      <c r="G159" s="17" t="s">
        <v>22</v>
      </c>
      <c r="H159" s="17">
        <v>4</v>
      </c>
      <c r="I159" s="19">
        <v>249.99</v>
      </c>
      <c r="J159" s="17" t="s">
        <v>37</v>
      </c>
      <c r="K159" s="17" t="s">
        <v>66</v>
      </c>
      <c r="L159" s="17" t="s">
        <v>30</v>
      </c>
      <c r="M159" s="18">
        <v>45098</v>
      </c>
      <c r="N159" s="19">
        <v>999.96</v>
      </c>
      <c r="O159" s="20">
        <f t="shared" si="4"/>
        <v>45627</v>
      </c>
      <c r="P159" s="21">
        <f t="shared" si="5"/>
        <v>1</v>
      </c>
      <c r="Q159" s="22">
        <f>IF(AND(OR(Analysis!$C$5="All",K159=Analysis!$C$5),OR(Analysis!$C$6="All",G159=Analysis!$C$6)),MAX(Q$1:Q158)+1,"")</f>
        <v>158</v>
      </c>
    </row>
    <row r="160" spans="1:17" ht="15.75" customHeight="1" x14ac:dyDescent="0.35">
      <c r="A160" s="17" t="s">
        <v>304</v>
      </c>
      <c r="B160" s="18">
        <v>45630</v>
      </c>
      <c r="C160" s="17" t="s">
        <v>51</v>
      </c>
      <c r="D160" s="17" t="s">
        <v>52</v>
      </c>
      <c r="E160" s="17" t="s">
        <v>83</v>
      </c>
      <c r="F160" s="17" t="s">
        <v>84</v>
      </c>
      <c r="G160" s="17" t="s">
        <v>22</v>
      </c>
      <c r="H160" s="17">
        <v>4</v>
      </c>
      <c r="I160" s="19">
        <v>699.99</v>
      </c>
      <c r="J160" s="17" t="s">
        <v>29</v>
      </c>
      <c r="K160" s="17" t="s">
        <v>43</v>
      </c>
      <c r="L160" s="17" t="s">
        <v>30</v>
      </c>
      <c r="M160" s="18">
        <v>44703</v>
      </c>
      <c r="N160" s="19">
        <v>2799.96</v>
      </c>
      <c r="O160" s="20">
        <f t="shared" si="4"/>
        <v>45627</v>
      </c>
      <c r="P160" s="21">
        <f t="shared" si="5"/>
        <v>2</v>
      </c>
      <c r="Q160" s="22">
        <f>IF(AND(OR(Analysis!$C$5="All",K160=Analysis!$C$5),OR(Analysis!$C$6="All",G160=Analysis!$C$6)),MAX(Q$1:Q159)+1,"")</f>
        <v>159</v>
      </c>
    </row>
    <row r="161" spans="1:17" ht="15.75" customHeight="1" x14ac:dyDescent="0.35">
      <c r="A161" s="17" t="s">
        <v>305</v>
      </c>
      <c r="B161" s="18">
        <v>45635</v>
      </c>
      <c r="C161" s="17" t="s">
        <v>111</v>
      </c>
      <c r="D161" s="17" t="s">
        <v>112</v>
      </c>
      <c r="E161" s="17" t="s">
        <v>20</v>
      </c>
      <c r="F161" s="17" t="s">
        <v>21</v>
      </c>
      <c r="G161" s="17" t="s">
        <v>22</v>
      </c>
      <c r="H161" s="17">
        <v>2</v>
      </c>
      <c r="I161" s="19">
        <v>249.99</v>
      </c>
      <c r="J161" s="17" t="s">
        <v>29</v>
      </c>
      <c r="K161" s="17" t="s">
        <v>24</v>
      </c>
      <c r="L161" s="17" t="s">
        <v>30</v>
      </c>
      <c r="M161" s="18">
        <v>44396</v>
      </c>
      <c r="N161" s="19">
        <v>499.98</v>
      </c>
      <c r="O161" s="20">
        <f t="shared" si="4"/>
        <v>45627</v>
      </c>
      <c r="P161" s="21">
        <f t="shared" si="5"/>
        <v>3</v>
      </c>
      <c r="Q161" s="22">
        <f>IF(AND(OR(Analysis!$C$5="All",K161=Analysis!$C$5),OR(Analysis!$C$6="All",G161=Analysis!$C$6)),MAX(Q$1:Q160)+1,"")</f>
        <v>160</v>
      </c>
    </row>
    <row r="162" spans="1:17" ht="15.75" customHeight="1" x14ac:dyDescent="0.35">
      <c r="A162" s="17" t="s">
        <v>306</v>
      </c>
      <c r="B162" s="18">
        <v>45635</v>
      </c>
      <c r="C162" s="17" t="s">
        <v>307</v>
      </c>
      <c r="D162" s="17" t="s">
        <v>308</v>
      </c>
      <c r="E162" s="17" t="s">
        <v>34</v>
      </c>
      <c r="F162" s="17" t="s">
        <v>35</v>
      </c>
      <c r="G162" s="17" t="s">
        <v>36</v>
      </c>
      <c r="H162" s="17">
        <v>3</v>
      </c>
      <c r="I162" s="19">
        <v>59.99</v>
      </c>
      <c r="J162" s="17" t="s">
        <v>23</v>
      </c>
      <c r="K162" s="17" t="s">
        <v>24</v>
      </c>
      <c r="L162" s="17" t="s">
        <v>30</v>
      </c>
      <c r="M162" s="18">
        <v>45052</v>
      </c>
      <c r="N162" s="19">
        <v>179.97</v>
      </c>
      <c r="O162" s="20">
        <f t="shared" si="4"/>
        <v>45627</v>
      </c>
      <c r="P162" s="21">
        <f t="shared" si="5"/>
        <v>1</v>
      </c>
      <c r="Q162" s="22">
        <f>IF(AND(OR(Analysis!$C$5="All",K162=Analysis!$C$5),OR(Analysis!$C$6="All",G162=Analysis!$C$6)),MAX(Q$1:Q161)+1,"")</f>
        <v>161</v>
      </c>
    </row>
    <row r="163" spans="1:17" ht="15.75" customHeight="1" x14ac:dyDescent="0.35">
      <c r="A163" s="17" t="s">
        <v>309</v>
      </c>
      <c r="B163" s="18">
        <v>45635</v>
      </c>
      <c r="C163" s="17" t="s">
        <v>144</v>
      </c>
      <c r="D163" s="17" t="s">
        <v>145</v>
      </c>
      <c r="E163" s="17" t="s">
        <v>117</v>
      </c>
      <c r="F163" s="17" t="s">
        <v>118</v>
      </c>
      <c r="G163" s="17" t="s">
        <v>36</v>
      </c>
      <c r="H163" s="17">
        <v>4</v>
      </c>
      <c r="I163" s="19">
        <v>79.989999999999995</v>
      </c>
      <c r="J163" s="17" t="s">
        <v>60</v>
      </c>
      <c r="K163" s="17" t="s">
        <v>66</v>
      </c>
      <c r="L163" s="17" t="s">
        <v>39</v>
      </c>
      <c r="M163" s="18">
        <v>44921</v>
      </c>
      <c r="N163" s="19">
        <v>319.95999999999998</v>
      </c>
      <c r="O163" s="20">
        <f t="shared" si="4"/>
        <v>45627</v>
      </c>
      <c r="P163" s="21">
        <f t="shared" si="5"/>
        <v>1</v>
      </c>
      <c r="Q163" s="22">
        <f>IF(AND(OR(Analysis!$C$5="All",K163=Analysis!$C$5),OR(Analysis!$C$6="All",G163=Analysis!$C$6)),MAX(Q$1:Q162)+1,"")</f>
        <v>162</v>
      </c>
    </row>
    <row r="164" spans="1:17" ht="15.75" customHeight="1" x14ac:dyDescent="0.35">
      <c r="A164" s="17" t="s">
        <v>310</v>
      </c>
      <c r="B164" s="18">
        <v>45636</v>
      </c>
      <c r="C164" s="17" t="s">
        <v>123</v>
      </c>
      <c r="D164" s="17" t="s">
        <v>124</v>
      </c>
      <c r="E164" s="17" t="s">
        <v>117</v>
      </c>
      <c r="F164" s="17" t="s">
        <v>118</v>
      </c>
      <c r="G164" s="17" t="s">
        <v>36</v>
      </c>
      <c r="H164" s="17">
        <v>3</v>
      </c>
      <c r="I164" s="19">
        <v>79.989999999999995</v>
      </c>
      <c r="J164" s="17" t="s">
        <v>60</v>
      </c>
      <c r="K164" s="17" t="s">
        <v>66</v>
      </c>
      <c r="L164" s="17" t="s">
        <v>39</v>
      </c>
      <c r="M164" s="18">
        <v>44779</v>
      </c>
      <c r="N164" s="19">
        <v>239.97</v>
      </c>
      <c r="O164" s="20">
        <f t="shared" si="4"/>
        <v>45627</v>
      </c>
      <c r="P164" s="21">
        <f t="shared" si="5"/>
        <v>2</v>
      </c>
      <c r="Q164" s="22">
        <f>IF(AND(OR(Analysis!$C$5="All",K164=Analysis!$C$5),OR(Analysis!$C$6="All",G164=Analysis!$C$6)),MAX(Q$1:Q163)+1,"")</f>
        <v>163</v>
      </c>
    </row>
    <row r="165" spans="1:17" ht="15.75" customHeight="1" x14ac:dyDescent="0.35">
      <c r="A165" s="17" t="s">
        <v>311</v>
      </c>
      <c r="B165" s="18">
        <v>45638</v>
      </c>
      <c r="C165" s="17" t="s">
        <v>75</v>
      </c>
      <c r="D165" s="17" t="s">
        <v>76</v>
      </c>
      <c r="E165" s="17" t="s">
        <v>64</v>
      </c>
      <c r="F165" s="17" t="s">
        <v>65</v>
      </c>
      <c r="G165" s="17" t="s">
        <v>22</v>
      </c>
      <c r="H165" s="17">
        <v>2</v>
      </c>
      <c r="I165" s="19">
        <v>899.99</v>
      </c>
      <c r="J165" s="17" t="s">
        <v>23</v>
      </c>
      <c r="K165" s="17" t="s">
        <v>43</v>
      </c>
      <c r="L165" s="17" t="s">
        <v>25</v>
      </c>
      <c r="M165" s="18">
        <v>44406</v>
      </c>
      <c r="N165" s="19">
        <v>1799.98</v>
      </c>
      <c r="O165" s="20">
        <f t="shared" si="4"/>
        <v>45627</v>
      </c>
      <c r="P165" s="21">
        <f t="shared" si="5"/>
        <v>3</v>
      </c>
      <c r="Q165" s="22">
        <f>IF(AND(OR(Analysis!$C$5="All",K165=Analysis!$C$5),OR(Analysis!$C$6="All",G165=Analysis!$C$6)),MAX(Q$1:Q164)+1,"")</f>
        <v>164</v>
      </c>
    </row>
    <row r="166" spans="1:17" ht="15.75" customHeight="1" x14ac:dyDescent="0.35">
      <c r="A166" s="17" t="s">
        <v>312</v>
      </c>
      <c r="B166" s="18">
        <v>45641</v>
      </c>
      <c r="C166" s="17" t="s">
        <v>185</v>
      </c>
      <c r="D166" s="17" t="s">
        <v>186</v>
      </c>
      <c r="E166" s="17" t="s">
        <v>47</v>
      </c>
      <c r="F166" s="17" t="s">
        <v>48</v>
      </c>
      <c r="G166" s="17" t="s">
        <v>49</v>
      </c>
      <c r="H166" s="17">
        <v>1</v>
      </c>
      <c r="I166" s="19">
        <v>149.99</v>
      </c>
      <c r="J166" s="17" t="s">
        <v>60</v>
      </c>
      <c r="K166" s="17" t="s">
        <v>66</v>
      </c>
      <c r="L166" s="17" t="s">
        <v>39</v>
      </c>
      <c r="M166" s="18">
        <v>45200</v>
      </c>
      <c r="N166" s="19">
        <v>149.99</v>
      </c>
      <c r="O166" s="20">
        <f t="shared" si="4"/>
        <v>45627</v>
      </c>
      <c r="P166" s="21">
        <f t="shared" si="5"/>
        <v>1</v>
      </c>
      <c r="Q166" s="22">
        <f>IF(AND(OR(Analysis!$C$5="All",K166=Analysis!$C$5),OR(Analysis!$C$6="All",G166=Analysis!$C$6)),MAX(Q$1:Q165)+1,"")</f>
        <v>165</v>
      </c>
    </row>
    <row r="167" spans="1:17" ht="15.75" customHeight="1" x14ac:dyDescent="0.35">
      <c r="A167" s="17" t="s">
        <v>313</v>
      </c>
      <c r="B167" s="18">
        <v>45641</v>
      </c>
      <c r="C167" s="17" t="s">
        <v>141</v>
      </c>
      <c r="D167" s="17" t="s">
        <v>142</v>
      </c>
      <c r="E167" s="17" t="s">
        <v>108</v>
      </c>
      <c r="F167" s="17" t="s">
        <v>109</v>
      </c>
      <c r="G167" s="17" t="s">
        <v>49</v>
      </c>
      <c r="H167" s="17">
        <v>2</v>
      </c>
      <c r="I167" s="19">
        <v>299.99</v>
      </c>
      <c r="J167" s="17" t="s">
        <v>23</v>
      </c>
      <c r="K167" s="17" t="s">
        <v>66</v>
      </c>
      <c r="L167" s="17" t="s">
        <v>30</v>
      </c>
      <c r="M167" s="18">
        <v>44724</v>
      </c>
      <c r="N167" s="19">
        <v>599.98</v>
      </c>
      <c r="O167" s="20">
        <f t="shared" si="4"/>
        <v>45627</v>
      </c>
      <c r="P167" s="21">
        <f t="shared" si="5"/>
        <v>2</v>
      </c>
      <c r="Q167" s="22">
        <f>IF(AND(OR(Analysis!$C$5="All",K167=Analysis!$C$5),OR(Analysis!$C$6="All",G167=Analysis!$C$6)),MAX(Q$1:Q166)+1,"")</f>
        <v>166</v>
      </c>
    </row>
    <row r="168" spans="1:17" ht="15.75" customHeight="1" x14ac:dyDescent="0.35">
      <c r="A168" s="17" t="s">
        <v>314</v>
      </c>
      <c r="B168" s="18">
        <v>45644</v>
      </c>
      <c r="C168" s="17" t="s">
        <v>135</v>
      </c>
      <c r="D168" s="17" t="s">
        <v>136</v>
      </c>
      <c r="E168" s="17" t="s">
        <v>34</v>
      </c>
      <c r="F168" s="17" t="s">
        <v>35</v>
      </c>
      <c r="G168" s="17" t="s">
        <v>36</v>
      </c>
      <c r="H168" s="17">
        <v>2</v>
      </c>
      <c r="I168" s="19">
        <v>59.99</v>
      </c>
      <c r="J168" s="17" t="s">
        <v>23</v>
      </c>
      <c r="K168" s="17" t="s">
        <v>53</v>
      </c>
      <c r="L168" s="17" t="s">
        <v>25</v>
      </c>
      <c r="M168" s="18">
        <v>45191</v>
      </c>
      <c r="N168" s="19">
        <v>119.98</v>
      </c>
      <c r="O168" s="20">
        <f t="shared" si="4"/>
        <v>45627</v>
      </c>
      <c r="P168" s="21">
        <f t="shared" si="5"/>
        <v>1</v>
      </c>
      <c r="Q168" s="22">
        <f>IF(AND(OR(Analysis!$C$5="All",K168=Analysis!$C$5),OR(Analysis!$C$6="All",G168=Analysis!$C$6)),MAX(Q$1:Q167)+1,"")</f>
        <v>167</v>
      </c>
    </row>
    <row r="169" spans="1:17" ht="15.75" customHeight="1" x14ac:dyDescent="0.35">
      <c r="A169" s="17" t="s">
        <v>315</v>
      </c>
      <c r="B169" s="18">
        <v>45645</v>
      </c>
      <c r="C169" s="17" t="s">
        <v>185</v>
      </c>
      <c r="D169" s="17" t="s">
        <v>186</v>
      </c>
      <c r="E169" s="17" t="s">
        <v>120</v>
      </c>
      <c r="F169" s="17" t="s">
        <v>121</v>
      </c>
      <c r="G169" s="17" t="s">
        <v>22</v>
      </c>
      <c r="H169" s="17">
        <v>1</v>
      </c>
      <c r="I169" s="19">
        <v>89.99</v>
      </c>
      <c r="J169" s="17" t="s">
        <v>60</v>
      </c>
      <c r="K169" s="17" t="s">
        <v>24</v>
      </c>
      <c r="L169" s="17" t="s">
        <v>39</v>
      </c>
      <c r="M169" s="18">
        <v>44760</v>
      </c>
      <c r="N169" s="19">
        <v>89.99</v>
      </c>
      <c r="O169" s="20">
        <f t="shared" si="4"/>
        <v>45627</v>
      </c>
      <c r="P169" s="21">
        <f t="shared" si="5"/>
        <v>2</v>
      </c>
      <c r="Q169" s="22">
        <f>IF(AND(OR(Analysis!$C$5="All",K169=Analysis!$C$5),OR(Analysis!$C$6="All",G169=Analysis!$C$6)),MAX(Q$1:Q168)+1,"")</f>
        <v>168</v>
      </c>
    </row>
    <row r="170" spans="1:17" ht="15.75" customHeight="1" x14ac:dyDescent="0.35">
      <c r="A170" s="17" t="s">
        <v>316</v>
      </c>
      <c r="B170" s="18">
        <v>45645</v>
      </c>
      <c r="C170" s="17" t="s">
        <v>150</v>
      </c>
      <c r="D170" s="17" t="s">
        <v>151</v>
      </c>
      <c r="E170" s="17" t="s">
        <v>64</v>
      </c>
      <c r="F170" s="17" t="s">
        <v>65</v>
      </c>
      <c r="G170" s="17" t="s">
        <v>22</v>
      </c>
      <c r="H170" s="17">
        <v>5</v>
      </c>
      <c r="I170" s="19">
        <v>899.99</v>
      </c>
      <c r="J170" s="17" t="s">
        <v>60</v>
      </c>
      <c r="K170" s="17" t="s">
        <v>66</v>
      </c>
      <c r="L170" s="17" t="s">
        <v>39</v>
      </c>
      <c r="M170" s="18">
        <v>44625</v>
      </c>
      <c r="N170" s="19">
        <v>4499.95</v>
      </c>
      <c r="O170" s="20">
        <f t="shared" si="4"/>
        <v>45627</v>
      </c>
      <c r="P170" s="21">
        <f t="shared" si="5"/>
        <v>2</v>
      </c>
      <c r="Q170" s="22">
        <f>IF(AND(OR(Analysis!$C$5="All",K170=Analysis!$C$5),OR(Analysis!$C$6="All",G170=Analysis!$C$6)),MAX(Q$1:Q169)+1,"")</f>
        <v>169</v>
      </c>
    </row>
    <row r="171" spans="1:17" ht="15.75" customHeight="1" x14ac:dyDescent="0.35">
      <c r="A171" s="17" t="s">
        <v>317</v>
      </c>
      <c r="B171" s="18">
        <v>45646</v>
      </c>
      <c r="C171" s="17" t="s">
        <v>45</v>
      </c>
      <c r="D171" s="17" t="s">
        <v>46</v>
      </c>
      <c r="E171" s="17" t="s">
        <v>47</v>
      </c>
      <c r="F171" s="17" t="s">
        <v>48</v>
      </c>
      <c r="G171" s="17" t="s">
        <v>49</v>
      </c>
      <c r="H171" s="17">
        <v>2</v>
      </c>
      <c r="I171" s="19">
        <v>149.99</v>
      </c>
      <c r="J171" s="17" t="s">
        <v>23</v>
      </c>
      <c r="K171" s="17" t="s">
        <v>38</v>
      </c>
      <c r="L171" s="17" t="s">
        <v>25</v>
      </c>
      <c r="M171" s="18">
        <v>45239</v>
      </c>
      <c r="N171" s="19">
        <v>299.98</v>
      </c>
      <c r="O171" s="20">
        <f t="shared" si="4"/>
        <v>45627</v>
      </c>
      <c r="P171" s="21">
        <f t="shared" si="5"/>
        <v>1</v>
      </c>
      <c r="Q171" s="22">
        <f>IF(AND(OR(Analysis!$C$5="All",K171=Analysis!$C$5),OR(Analysis!$C$6="All",G171=Analysis!$C$6)),MAX(Q$1:Q170)+1,"")</f>
        <v>170</v>
      </c>
    </row>
    <row r="172" spans="1:17" ht="15.75" customHeight="1" x14ac:dyDescent="0.35">
      <c r="A172" s="17" t="s">
        <v>318</v>
      </c>
      <c r="B172" s="18">
        <v>45648</v>
      </c>
      <c r="C172" s="17" t="s">
        <v>115</v>
      </c>
      <c r="D172" s="17" t="s">
        <v>116</v>
      </c>
      <c r="E172" s="17" t="s">
        <v>55</v>
      </c>
      <c r="F172" s="17" t="s">
        <v>56</v>
      </c>
      <c r="G172" s="17" t="s">
        <v>22</v>
      </c>
      <c r="H172" s="17">
        <v>2</v>
      </c>
      <c r="I172" s="19">
        <v>149.99</v>
      </c>
      <c r="J172" s="17" t="s">
        <v>60</v>
      </c>
      <c r="K172" s="17" t="s">
        <v>53</v>
      </c>
      <c r="L172" s="17" t="s">
        <v>30</v>
      </c>
      <c r="M172" s="18">
        <v>45280</v>
      </c>
      <c r="N172" s="19">
        <v>299.98</v>
      </c>
      <c r="O172" s="20">
        <f t="shared" si="4"/>
        <v>45627</v>
      </c>
      <c r="P172" s="21">
        <f t="shared" si="5"/>
        <v>1</v>
      </c>
      <c r="Q172" s="22">
        <f>IF(AND(OR(Analysis!$C$5="All",K172=Analysis!$C$5),OR(Analysis!$C$6="All",G172=Analysis!$C$6)),MAX(Q$1:Q171)+1,"")</f>
        <v>171</v>
      </c>
    </row>
    <row r="173" spans="1:17" ht="15.75" customHeight="1" x14ac:dyDescent="0.35">
      <c r="A173" s="17" t="s">
        <v>319</v>
      </c>
      <c r="B173" s="18">
        <v>45648</v>
      </c>
      <c r="C173" s="17" t="s">
        <v>185</v>
      </c>
      <c r="D173" s="17" t="s">
        <v>186</v>
      </c>
      <c r="E173" s="17" t="s">
        <v>47</v>
      </c>
      <c r="F173" s="17" t="s">
        <v>48</v>
      </c>
      <c r="G173" s="17" t="s">
        <v>49</v>
      </c>
      <c r="H173" s="17">
        <v>3</v>
      </c>
      <c r="I173" s="19">
        <v>149.99</v>
      </c>
      <c r="J173" s="17" t="s">
        <v>60</v>
      </c>
      <c r="K173" s="17" t="s">
        <v>43</v>
      </c>
      <c r="L173" s="17" t="s">
        <v>39</v>
      </c>
      <c r="M173" s="18">
        <v>44522</v>
      </c>
      <c r="N173" s="19">
        <v>449.97</v>
      </c>
      <c r="O173" s="20">
        <f t="shared" si="4"/>
        <v>45627</v>
      </c>
      <c r="P173" s="21">
        <f t="shared" si="5"/>
        <v>3</v>
      </c>
      <c r="Q173" s="22">
        <f>IF(AND(OR(Analysis!$C$5="All",K173=Analysis!$C$5),OR(Analysis!$C$6="All",G173=Analysis!$C$6)),MAX(Q$1:Q172)+1,"")</f>
        <v>172</v>
      </c>
    </row>
    <row r="174" spans="1:17" ht="15.75" customHeight="1" x14ac:dyDescent="0.35">
      <c r="A174" s="17" t="s">
        <v>320</v>
      </c>
      <c r="B174" s="18">
        <v>45649</v>
      </c>
      <c r="C174" s="17" t="s">
        <v>32</v>
      </c>
      <c r="D174" s="17" t="s">
        <v>33</v>
      </c>
      <c r="E174" s="17" t="s">
        <v>108</v>
      </c>
      <c r="F174" s="17" t="s">
        <v>109</v>
      </c>
      <c r="G174" s="17" t="s">
        <v>49</v>
      </c>
      <c r="H174" s="17">
        <v>2</v>
      </c>
      <c r="I174" s="19">
        <v>299.99</v>
      </c>
      <c r="J174" s="17" t="s">
        <v>37</v>
      </c>
      <c r="K174" s="17" t="s">
        <v>38</v>
      </c>
      <c r="L174" s="17" t="s">
        <v>25</v>
      </c>
      <c r="M174" s="18">
        <v>44721</v>
      </c>
      <c r="N174" s="19">
        <v>599.98</v>
      </c>
      <c r="O174" s="20">
        <f t="shared" si="4"/>
        <v>45627</v>
      </c>
      <c r="P174" s="21">
        <f t="shared" si="5"/>
        <v>2</v>
      </c>
      <c r="Q174" s="22">
        <f>IF(AND(OR(Analysis!$C$5="All",K174=Analysis!$C$5),OR(Analysis!$C$6="All",G174=Analysis!$C$6)),MAX(Q$1:Q173)+1,"")</f>
        <v>173</v>
      </c>
    </row>
    <row r="175" spans="1:17" ht="15.75" customHeight="1" x14ac:dyDescent="0.35">
      <c r="A175" s="17" t="s">
        <v>321</v>
      </c>
      <c r="B175" s="18">
        <v>45654</v>
      </c>
      <c r="C175" s="17" t="s">
        <v>45</v>
      </c>
      <c r="D175" s="17" t="s">
        <v>46</v>
      </c>
      <c r="E175" s="17" t="s">
        <v>108</v>
      </c>
      <c r="F175" s="17" t="s">
        <v>109</v>
      </c>
      <c r="G175" s="17" t="s">
        <v>49</v>
      </c>
      <c r="H175" s="17">
        <v>2</v>
      </c>
      <c r="I175" s="19">
        <v>299.99</v>
      </c>
      <c r="J175" s="17" t="s">
        <v>23</v>
      </c>
      <c r="K175" s="17" t="s">
        <v>53</v>
      </c>
      <c r="L175" s="17" t="s">
        <v>25</v>
      </c>
      <c r="M175" s="18">
        <v>44771</v>
      </c>
      <c r="N175" s="19">
        <v>599.98</v>
      </c>
      <c r="O175" s="20">
        <f t="shared" si="4"/>
        <v>45627</v>
      </c>
      <c r="P175" s="21">
        <f t="shared" si="5"/>
        <v>2</v>
      </c>
      <c r="Q175" s="22">
        <f>IF(AND(OR(Analysis!$C$5="All",K175=Analysis!$C$5),OR(Analysis!$C$6="All",G175=Analysis!$C$6)),MAX(Q$1:Q174)+1,"")</f>
        <v>174</v>
      </c>
    </row>
    <row r="176" spans="1:17" ht="15.75" customHeight="1" x14ac:dyDescent="0.35">
      <c r="A176" s="17" t="s">
        <v>322</v>
      </c>
      <c r="B176" s="18">
        <v>45654</v>
      </c>
      <c r="C176" s="17" t="s">
        <v>123</v>
      </c>
      <c r="D176" s="17" t="s">
        <v>124</v>
      </c>
      <c r="E176" s="17" t="s">
        <v>129</v>
      </c>
      <c r="F176" s="17" t="s">
        <v>130</v>
      </c>
      <c r="G176" s="17" t="s">
        <v>49</v>
      </c>
      <c r="H176" s="17">
        <v>4</v>
      </c>
      <c r="I176" s="19">
        <v>199.99</v>
      </c>
      <c r="J176" s="17" t="s">
        <v>29</v>
      </c>
      <c r="K176" s="17" t="s">
        <v>24</v>
      </c>
      <c r="L176" s="17" t="s">
        <v>25</v>
      </c>
      <c r="M176" s="18">
        <v>44523</v>
      </c>
      <c r="N176" s="19">
        <v>799.96</v>
      </c>
      <c r="O176" s="20">
        <f t="shared" si="4"/>
        <v>45627</v>
      </c>
      <c r="P176" s="21">
        <f t="shared" si="5"/>
        <v>3</v>
      </c>
      <c r="Q176" s="22">
        <f>IF(AND(OR(Analysis!$C$5="All",K176=Analysis!$C$5),OR(Analysis!$C$6="All",G176=Analysis!$C$6)),MAX(Q$1:Q175)+1,"")</f>
        <v>175</v>
      </c>
    </row>
    <row r="177" spans="1:17" ht="15.75" customHeight="1" x14ac:dyDescent="0.35">
      <c r="A177" s="17" t="s">
        <v>323</v>
      </c>
      <c r="B177" s="18">
        <v>45655</v>
      </c>
      <c r="C177" s="17" t="s">
        <v>62</v>
      </c>
      <c r="D177" s="17" t="s">
        <v>63</v>
      </c>
      <c r="E177" s="17" t="s">
        <v>120</v>
      </c>
      <c r="F177" s="17" t="s">
        <v>121</v>
      </c>
      <c r="G177" s="17" t="s">
        <v>22</v>
      </c>
      <c r="H177" s="17">
        <v>1</v>
      </c>
      <c r="I177" s="19">
        <v>89.99</v>
      </c>
      <c r="J177" s="17" t="s">
        <v>29</v>
      </c>
      <c r="K177" s="17" t="s">
        <v>38</v>
      </c>
      <c r="L177" s="17" t="s">
        <v>30</v>
      </c>
      <c r="M177" s="18">
        <v>44591</v>
      </c>
      <c r="N177" s="19">
        <v>89.99</v>
      </c>
      <c r="O177" s="20">
        <f t="shared" si="4"/>
        <v>45627</v>
      </c>
      <c r="P177" s="21">
        <f t="shared" si="5"/>
        <v>2</v>
      </c>
      <c r="Q177" s="22">
        <f>IF(AND(OR(Analysis!$C$5="All",K177=Analysis!$C$5),OR(Analysis!$C$6="All",G177=Analysis!$C$6)),MAX(Q$1:Q176)+1,"")</f>
        <v>176</v>
      </c>
    </row>
    <row r="178" spans="1:17" ht="15.75" customHeight="1" x14ac:dyDescent="0.35">
      <c r="A178" s="17" t="s">
        <v>324</v>
      </c>
      <c r="B178" s="18">
        <v>45655</v>
      </c>
      <c r="C178" s="17" t="s">
        <v>111</v>
      </c>
      <c r="D178" s="17" t="s">
        <v>112</v>
      </c>
      <c r="E178" s="17" t="s">
        <v>47</v>
      </c>
      <c r="F178" s="17" t="s">
        <v>48</v>
      </c>
      <c r="G178" s="17" t="s">
        <v>49</v>
      </c>
      <c r="H178" s="17">
        <v>5</v>
      </c>
      <c r="I178" s="19">
        <v>149.99</v>
      </c>
      <c r="J178" s="17" t="s">
        <v>23</v>
      </c>
      <c r="K178" s="17" t="s">
        <v>24</v>
      </c>
      <c r="L178" s="17" t="s">
        <v>30</v>
      </c>
      <c r="M178" s="18">
        <v>45347</v>
      </c>
      <c r="N178" s="19">
        <v>749.95</v>
      </c>
      <c r="O178" s="20">
        <f t="shared" si="4"/>
        <v>45627</v>
      </c>
      <c r="P178" s="21">
        <f t="shared" si="5"/>
        <v>0</v>
      </c>
      <c r="Q178" s="22">
        <f>IF(AND(OR(Analysis!$C$5="All",K178=Analysis!$C$5),OR(Analysis!$C$6="All",G178=Analysis!$C$6)),MAX(Q$1:Q177)+1,"")</f>
        <v>177</v>
      </c>
    </row>
    <row r="179" spans="1:17" ht="15.75" customHeight="1" x14ac:dyDescent="0.35">
      <c r="A179" s="17" t="s">
        <v>325</v>
      </c>
      <c r="B179" s="18">
        <v>45657</v>
      </c>
      <c r="C179" s="17" t="s">
        <v>89</v>
      </c>
      <c r="D179" s="17" t="s">
        <v>90</v>
      </c>
      <c r="E179" s="17" t="s">
        <v>64</v>
      </c>
      <c r="F179" s="17" t="s">
        <v>65</v>
      </c>
      <c r="G179" s="17" t="s">
        <v>22</v>
      </c>
      <c r="H179" s="17">
        <v>1</v>
      </c>
      <c r="I179" s="19">
        <v>899.99</v>
      </c>
      <c r="J179" s="17" t="s">
        <v>37</v>
      </c>
      <c r="K179" s="17" t="s">
        <v>43</v>
      </c>
      <c r="L179" s="17" t="s">
        <v>30</v>
      </c>
      <c r="M179" s="18">
        <v>45050</v>
      </c>
      <c r="N179" s="19">
        <v>899.99</v>
      </c>
      <c r="O179" s="20">
        <f t="shared" si="4"/>
        <v>45627</v>
      </c>
      <c r="P179" s="21">
        <f t="shared" si="5"/>
        <v>1</v>
      </c>
      <c r="Q179" s="22">
        <f>IF(AND(OR(Analysis!$C$5="All",K179=Analysis!$C$5),OR(Analysis!$C$6="All",G179=Analysis!$C$6)),MAX(Q$1:Q178)+1,"")</f>
        <v>178</v>
      </c>
    </row>
    <row r="180" spans="1:17" ht="15.75" customHeight="1" x14ac:dyDescent="0.35">
      <c r="A180" s="17" t="s">
        <v>326</v>
      </c>
      <c r="B180" s="18">
        <v>45660</v>
      </c>
      <c r="C180" s="17" t="s">
        <v>150</v>
      </c>
      <c r="D180" s="17" t="s">
        <v>151</v>
      </c>
      <c r="E180" s="17" t="s">
        <v>120</v>
      </c>
      <c r="F180" s="17" t="s">
        <v>121</v>
      </c>
      <c r="G180" s="17" t="s">
        <v>22</v>
      </c>
      <c r="H180" s="17">
        <v>2</v>
      </c>
      <c r="I180" s="19">
        <v>89.99</v>
      </c>
      <c r="J180" s="17" t="s">
        <v>29</v>
      </c>
      <c r="K180" s="17" t="s">
        <v>38</v>
      </c>
      <c r="L180" s="17" t="s">
        <v>30</v>
      </c>
      <c r="M180" s="18">
        <v>44564</v>
      </c>
      <c r="N180" s="19">
        <v>179.98</v>
      </c>
      <c r="O180" s="20">
        <f t="shared" si="4"/>
        <v>45658</v>
      </c>
      <c r="P180" s="21">
        <f t="shared" si="5"/>
        <v>3</v>
      </c>
      <c r="Q180" s="22">
        <f>IF(AND(OR(Analysis!$C$5="All",K180=Analysis!$C$5),OR(Analysis!$C$6="All",G180=Analysis!$C$6)),MAX(Q$1:Q179)+1,"")</f>
        <v>179</v>
      </c>
    </row>
    <row r="181" spans="1:17" ht="15.75" customHeight="1" x14ac:dyDescent="0.35">
      <c r="A181" s="17" t="s">
        <v>327</v>
      </c>
      <c r="B181" s="18">
        <v>45661</v>
      </c>
      <c r="C181" s="17" t="s">
        <v>328</v>
      </c>
      <c r="D181" s="17" t="s">
        <v>329</v>
      </c>
      <c r="E181" s="17" t="s">
        <v>64</v>
      </c>
      <c r="F181" s="17" t="s">
        <v>65</v>
      </c>
      <c r="G181" s="17" t="s">
        <v>22</v>
      </c>
      <c r="H181" s="17">
        <v>1</v>
      </c>
      <c r="I181" s="19">
        <v>899.99</v>
      </c>
      <c r="J181" s="17" t="s">
        <v>37</v>
      </c>
      <c r="K181" s="17" t="s">
        <v>43</v>
      </c>
      <c r="L181" s="17" t="s">
        <v>39</v>
      </c>
      <c r="M181" s="18">
        <v>44752</v>
      </c>
      <c r="N181" s="19">
        <v>899.99</v>
      </c>
      <c r="O181" s="20">
        <f t="shared" si="4"/>
        <v>45658</v>
      </c>
      <c r="P181" s="21">
        <f t="shared" si="5"/>
        <v>2</v>
      </c>
      <c r="Q181" s="22">
        <f>IF(AND(OR(Analysis!$C$5="All",K181=Analysis!$C$5),OR(Analysis!$C$6="All",G181=Analysis!$C$6)),MAX(Q$1:Q180)+1,"")</f>
        <v>180</v>
      </c>
    </row>
    <row r="182" spans="1:17" ht="15.75" customHeight="1" x14ac:dyDescent="0.35">
      <c r="A182" s="17" t="s">
        <v>330</v>
      </c>
      <c r="B182" s="18">
        <v>45663</v>
      </c>
      <c r="C182" s="17" t="s">
        <v>132</v>
      </c>
      <c r="D182" s="17" t="s">
        <v>133</v>
      </c>
      <c r="E182" s="17" t="s">
        <v>55</v>
      </c>
      <c r="F182" s="17" t="s">
        <v>56</v>
      </c>
      <c r="G182" s="17" t="s">
        <v>22</v>
      </c>
      <c r="H182" s="17">
        <v>5</v>
      </c>
      <c r="I182" s="19">
        <v>149.99</v>
      </c>
      <c r="J182" s="17" t="s">
        <v>37</v>
      </c>
      <c r="K182" s="17" t="s">
        <v>66</v>
      </c>
      <c r="L182" s="17" t="s">
        <v>30</v>
      </c>
      <c r="M182" s="18">
        <v>44824</v>
      </c>
      <c r="N182" s="19">
        <v>749.95</v>
      </c>
      <c r="O182" s="20">
        <f t="shared" si="4"/>
        <v>45658</v>
      </c>
      <c r="P182" s="21">
        <f t="shared" si="5"/>
        <v>2</v>
      </c>
      <c r="Q182" s="22">
        <f>IF(AND(OR(Analysis!$C$5="All",K182=Analysis!$C$5),OR(Analysis!$C$6="All",G182=Analysis!$C$6)),MAX(Q$1:Q181)+1,"")</f>
        <v>181</v>
      </c>
    </row>
    <row r="183" spans="1:17" ht="15.75" customHeight="1" x14ac:dyDescent="0.35">
      <c r="A183" s="17" t="s">
        <v>331</v>
      </c>
      <c r="B183" s="18">
        <v>45663</v>
      </c>
      <c r="C183" s="17" t="s">
        <v>45</v>
      </c>
      <c r="D183" s="17" t="s">
        <v>46</v>
      </c>
      <c r="E183" s="17" t="s">
        <v>108</v>
      </c>
      <c r="F183" s="17" t="s">
        <v>109</v>
      </c>
      <c r="G183" s="17" t="s">
        <v>49</v>
      </c>
      <c r="H183" s="17">
        <v>3</v>
      </c>
      <c r="I183" s="19">
        <v>299.99</v>
      </c>
      <c r="J183" s="17" t="s">
        <v>23</v>
      </c>
      <c r="K183" s="17" t="s">
        <v>38</v>
      </c>
      <c r="L183" s="17" t="s">
        <v>39</v>
      </c>
      <c r="M183" s="18">
        <v>44422</v>
      </c>
      <c r="N183" s="19">
        <v>899.97</v>
      </c>
      <c r="O183" s="20">
        <f t="shared" si="4"/>
        <v>45658</v>
      </c>
      <c r="P183" s="21">
        <f t="shared" si="5"/>
        <v>3</v>
      </c>
      <c r="Q183" s="22">
        <f>IF(AND(OR(Analysis!$C$5="All",K183=Analysis!$C$5),OR(Analysis!$C$6="All",G183=Analysis!$C$6)),MAX(Q$1:Q182)+1,"")</f>
        <v>182</v>
      </c>
    </row>
    <row r="184" spans="1:17" ht="15.75" customHeight="1" x14ac:dyDescent="0.35">
      <c r="A184" s="17" t="s">
        <v>332</v>
      </c>
      <c r="B184" s="18">
        <v>45666</v>
      </c>
      <c r="C184" s="17" t="s">
        <v>68</v>
      </c>
      <c r="D184" s="17" t="s">
        <v>69</v>
      </c>
      <c r="E184" s="17" t="s">
        <v>83</v>
      </c>
      <c r="F184" s="17" t="s">
        <v>84</v>
      </c>
      <c r="G184" s="17" t="s">
        <v>22</v>
      </c>
      <c r="H184" s="17">
        <v>3</v>
      </c>
      <c r="I184" s="19">
        <v>699.99</v>
      </c>
      <c r="J184" s="17" t="s">
        <v>29</v>
      </c>
      <c r="K184" s="17" t="s">
        <v>24</v>
      </c>
      <c r="L184" s="17" t="s">
        <v>30</v>
      </c>
      <c r="M184" s="18">
        <v>45105</v>
      </c>
      <c r="N184" s="19">
        <v>2099.9699999999998</v>
      </c>
      <c r="O184" s="20">
        <f t="shared" si="4"/>
        <v>45658</v>
      </c>
      <c r="P184" s="21">
        <f t="shared" si="5"/>
        <v>1</v>
      </c>
      <c r="Q184" s="22">
        <f>IF(AND(OR(Analysis!$C$5="All",K184=Analysis!$C$5),OR(Analysis!$C$6="All",G184=Analysis!$C$6)),MAX(Q$1:Q183)+1,"")</f>
        <v>183</v>
      </c>
    </row>
    <row r="185" spans="1:17" ht="15.75" customHeight="1" x14ac:dyDescent="0.35">
      <c r="A185" s="17" t="s">
        <v>333</v>
      </c>
      <c r="B185" s="18">
        <v>45667</v>
      </c>
      <c r="C185" s="17" t="s">
        <v>111</v>
      </c>
      <c r="D185" s="17" t="s">
        <v>112</v>
      </c>
      <c r="E185" s="17" t="s">
        <v>129</v>
      </c>
      <c r="F185" s="17" t="s">
        <v>130</v>
      </c>
      <c r="G185" s="17" t="s">
        <v>49</v>
      </c>
      <c r="H185" s="17">
        <v>5</v>
      </c>
      <c r="I185" s="19">
        <v>199.99</v>
      </c>
      <c r="J185" s="17" t="s">
        <v>37</v>
      </c>
      <c r="K185" s="17" t="s">
        <v>24</v>
      </c>
      <c r="L185" s="17" t="s">
        <v>39</v>
      </c>
      <c r="M185" s="18">
        <v>44633</v>
      </c>
      <c r="N185" s="19">
        <v>999.95</v>
      </c>
      <c r="O185" s="20">
        <f t="shared" si="4"/>
        <v>45658</v>
      </c>
      <c r="P185" s="21">
        <f t="shared" si="5"/>
        <v>2</v>
      </c>
      <c r="Q185" s="22">
        <f>IF(AND(OR(Analysis!$C$5="All",K185=Analysis!$C$5),OR(Analysis!$C$6="All",G185=Analysis!$C$6)),MAX(Q$1:Q184)+1,"")</f>
        <v>184</v>
      </c>
    </row>
    <row r="186" spans="1:17" ht="15.75" customHeight="1" x14ac:dyDescent="0.35">
      <c r="A186" s="17" t="s">
        <v>334</v>
      </c>
      <c r="B186" s="18">
        <v>45667</v>
      </c>
      <c r="C186" s="17" t="s">
        <v>96</v>
      </c>
      <c r="D186" s="17" t="s">
        <v>97</v>
      </c>
      <c r="E186" s="17" t="s">
        <v>20</v>
      </c>
      <c r="F186" s="17" t="s">
        <v>21</v>
      </c>
      <c r="G186" s="17" t="s">
        <v>22</v>
      </c>
      <c r="H186" s="17">
        <v>5</v>
      </c>
      <c r="I186" s="19">
        <v>249.99</v>
      </c>
      <c r="J186" s="17" t="s">
        <v>29</v>
      </c>
      <c r="K186" s="17" t="s">
        <v>38</v>
      </c>
      <c r="L186" s="17" t="s">
        <v>25</v>
      </c>
      <c r="M186" s="18">
        <v>45330</v>
      </c>
      <c r="N186" s="19">
        <v>1249.95</v>
      </c>
      <c r="O186" s="20">
        <f t="shared" si="4"/>
        <v>45658</v>
      </c>
      <c r="P186" s="21">
        <f t="shared" si="5"/>
        <v>0</v>
      </c>
      <c r="Q186" s="22">
        <f>IF(AND(OR(Analysis!$C$5="All",K186=Analysis!$C$5),OR(Analysis!$C$6="All",G186=Analysis!$C$6)),MAX(Q$1:Q185)+1,"")</f>
        <v>185</v>
      </c>
    </row>
    <row r="187" spans="1:17" ht="15.75" customHeight="1" x14ac:dyDescent="0.35">
      <c r="A187" s="17" t="s">
        <v>335</v>
      </c>
      <c r="B187" s="18">
        <v>45668</v>
      </c>
      <c r="C187" s="17" t="s">
        <v>141</v>
      </c>
      <c r="D187" s="17" t="s">
        <v>142</v>
      </c>
      <c r="E187" s="17" t="s">
        <v>55</v>
      </c>
      <c r="F187" s="17" t="s">
        <v>56</v>
      </c>
      <c r="G187" s="17" t="s">
        <v>22</v>
      </c>
      <c r="H187" s="17">
        <v>4</v>
      </c>
      <c r="I187" s="19">
        <v>149.99</v>
      </c>
      <c r="J187" s="17" t="s">
        <v>60</v>
      </c>
      <c r="K187" s="17" t="s">
        <v>66</v>
      </c>
      <c r="L187" s="17" t="s">
        <v>39</v>
      </c>
      <c r="M187" s="18">
        <v>44536</v>
      </c>
      <c r="N187" s="19">
        <v>599.96</v>
      </c>
      <c r="O187" s="20">
        <f t="shared" si="4"/>
        <v>45658</v>
      </c>
      <c r="P187" s="21">
        <f t="shared" si="5"/>
        <v>3</v>
      </c>
      <c r="Q187" s="22">
        <f>IF(AND(OR(Analysis!$C$5="All",K187=Analysis!$C$5),OR(Analysis!$C$6="All",G187=Analysis!$C$6)),MAX(Q$1:Q186)+1,"")</f>
        <v>186</v>
      </c>
    </row>
    <row r="188" spans="1:17" ht="15.75" customHeight="1" x14ac:dyDescent="0.35">
      <c r="A188" s="17" t="s">
        <v>336</v>
      </c>
      <c r="B188" s="18">
        <v>45668</v>
      </c>
      <c r="C188" s="17" t="s">
        <v>81</v>
      </c>
      <c r="D188" s="17" t="s">
        <v>82</v>
      </c>
      <c r="E188" s="17" t="s">
        <v>83</v>
      </c>
      <c r="F188" s="17" t="s">
        <v>84</v>
      </c>
      <c r="G188" s="17" t="s">
        <v>22</v>
      </c>
      <c r="H188" s="17">
        <v>3</v>
      </c>
      <c r="I188" s="19">
        <v>699.99</v>
      </c>
      <c r="J188" s="17" t="s">
        <v>23</v>
      </c>
      <c r="K188" s="17" t="s">
        <v>43</v>
      </c>
      <c r="L188" s="17" t="s">
        <v>30</v>
      </c>
      <c r="M188" s="18">
        <v>44602</v>
      </c>
      <c r="N188" s="19">
        <v>2099.9699999999998</v>
      </c>
      <c r="O188" s="20">
        <f t="shared" si="4"/>
        <v>45658</v>
      </c>
      <c r="P188" s="21">
        <f t="shared" si="5"/>
        <v>2</v>
      </c>
      <c r="Q188" s="22">
        <f>IF(AND(OR(Analysis!$C$5="All",K188=Analysis!$C$5),OR(Analysis!$C$6="All",G188=Analysis!$C$6)),MAX(Q$1:Q187)+1,"")</f>
        <v>187</v>
      </c>
    </row>
    <row r="189" spans="1:17" ht="15.75" customHeight="1" x14ac:dyDescent="0.35">
      <c r="A189" s="17" t="s">
        <v>337</v>
      </c>
      <c r="B189" s="18">
        <v>45670</v>
      </c>
      <c r="C189" s="17" t="s">
        <v>296</v>
      </c>
      <c r="D189" s="17" t="s">
        <v>297</v>
      </c>
      <c r="E189" s="17" t="s">
        <v>117</v>
      </c>
      <c r="F189" s="17" t="s">
        <v>118</v>
      </c>
      <c r="G189" s="17" t="s">
        <v>36</v>
      </c>
      <c r="H189" s="17">
        <v>1</v>
      </c>
      <c r="I189" s="19">
        <v>79.989999999999995</v>
      </c>
      <c r="J189" s="17" t="s">
        <v>29</v>
      </c>
      <c r="K189" s="17" t="s">
        <v>38</v>
      </c>
      <c r="L189" s="17" t="s">
        <v>25</v>
      </c>
      <c r="M189" s="18">
        <v>45322</v>
      </c>
      <c r="N189" s="19">
        <v>79.989999999999995</v>
      </c>
      <c r="O189" s="20">
        <f t="shared" si="4"/>
        <v>45658</v>
      </c>
      <c r="P189" s="21">
        <f t="shared" si="5"/>
        <v>0</v>
      </c>
      <c r="Q189" s="22">
        <f>IF(AND(OR(Analysis!$C$5="All",K189=Analysis!$C$5),OR(Analysis!$C$6="All",G189=Analysis!$C$6)),MAX(Q$1:Q188)+1,"")</f>
        <v>188</v>
      </c>
    </row>
    <row r="190" spans="1:17" ht="15.75" customHeight="1" x14ac:dyDescent="0.35">
      <c r="A190" s="17" t="s">
        <v>338</v>
      </c>
      <c r="B190" s="18">
        <v>45670</v>
      </c>
      <c r="C190" s="17" t="s">
        <v>89</v>
      </c>
      <c r="D190" s="17" t="s">
        <v>90</v>
      </c>
      <c r="E190" s="17" t="s">
        <v>108</v>
      </c>
      <c r="F190" s="17" t="s">
        <v>109</v>
      </c>
      <c r="G190" s="17" t="s">
        <v>49</v>
      </c>
      <c r="H190" s="17">
        <v>1</v>
      </c>
      <c r="I190" s="19">
        <v>299.99</v>
      </c>
      <c r="J190" s="17" t="s">
        <v>29</v>
      </c>
      <c r="K190" s="17" t="s">
        <v>43</v>
      </c>
      <c r="L190" s="17" t="s">
        <v>25</v>
      </c>
      <c r="M190" s="18">
        <v>44436</v>
      </c>
      <c r="N190" s="19">
        <v>299.99</v>
      </c>
      <c r="O190" s="20">
        <f t="shared" si="4"/>
        <v>45658</v>
      </c>
      <c r="P190" s="21">
        <f t="shared" si="5"/>
        <v>3</v>
      </c>
      <c r="Q190" s="22">
        <f>IF(AND(OR(Analysis!$C$5="All",K190=Analysis!$C$5),OR(Analysis!$C$6="All",G190=Analysis!$C$6)),MAX(Q$1:Q189)+1,"")</f>
        <v>189</v>
      </c>
    </row>
    <row r="191" spans="1:17" ht="15.75" customHeight="1" x14ac:dyDescent="0.35">
      <c r="A191" s="17" t="s">
        <v>339</v>
      </c>
      <c r="B191" s="18">
        <v>45671</v>
      </c>
      <c r="C191" s="17" t="s">
        <v>161</v>
      </c>
      <c r="D191" s="17" t="s">
        <v>162</v>
      </c>
      <c r="E191" s="17" t="s">
        <v>20</v>
      </c>
      <c r="F191" s="17" t="s">
        <v>21</v>
      </c>
      <c r="G191" s="17" t="s">
        <v>22</v>
      </c>
      <c r="H191" s="17">
        <v>4</v>
      </c>
      <c r="I191" s="19">
        <v>249.99</v>
      </c>
      <c r="J191" s="17" t="s">
        <v>29</v>
      </c>
      <c r="K191" s="17" t="s">
        <v>43</v>
      </c>
      <c r="L191" s="17" t="s">
        <v>30</v>
      </c>
      <c r="M191" s="18">
        <v>44460</v>
      </c>
      <c r="N191" s="19">
        <v>999.96</v>
      </c>
      <c r="O191" s="20">
        <f t="shared" si="4"/>
        <v>45658</v>
      </c>
      <c r="P191" s="21">
        <f t="shared" si="5"/>
        <v>3</v>
      </c>
      <c r="Q191" s="22">
        <f>IF(AND(OR(Analysis!$C$5="All",K191=Analysis!$C$5),OR(Analysis!$C$6="All",G191=Analysis!$C$6)),MAX(Q$1:Q190)+1,"")</f>
        <v>190</v>
      </c>
    </row>
    <row r="192" spans="1:17" ht="15.75" customHeight="1" x14ac:dyDescent="0.35">
      <c r="A192" s="17" t="s">
        <v>340</v>
      </c>
      <c r="B192" s="18">
        <v>45671</v>
      </c>
      <c r="C192" s="17" t="s">
        <v>123</v>
      </c>
      <c r="D192" s="17" t="s">
        <v>124</v>
      </c>
      <c r="E192" s="17" t="s">
        <v>55</v>
      </c>
      <c r="F192" s="17" t="s">
        <v>56</v>
      </c>
      <c r="G192" s="17" t="s">
        <v>22</v>
      </c>
      <c r="H192" s="17">
        <v>2</v>
      </c>
      <c r="I192" s="19">
        <v>149.99</v>
      </c>
      <c r="J192" s="17" t="s">
        <v>23</v>
      </c>
      <c r="K192" s="17" t="s">
        <v>43</v>
      </c>
      <c r="L192" s="17" t="s">
        <v>39</v>
      </c>
      <c r="M192" s="18">
        <v>44913</v>
      </c>
      <c r="N192" s="19">
        <v>299.98</v>
      </c>
      <c r="O192" s="20">
        <f t="shared" si="4"/>
        <v>45658</v>
      </c>
      <c r="P192" s="21">
        <f t="shared" si="5"/>
        <v>2</v>
      </c>
      <c r="Q192" s="22">
        <f>IF(AND(OR(Analysis!$C$5="All",K192=Analysis!$C$5),OR(Analysis!$C$6="All",G192=Analysis!$C$6)),MAX(Q$1:Q191)+1,"")</f>
        <v>191</v>
      </c>
    </row>
    <row r="193" spans="1:17" ht="15.75" customHeight="1" x14ac:dyDescent="0.35">
      <c r="A193" s="17" t="s">
        <v>341</v>
      </c>
      <c r="B193" s="18">
        <v>45671</v>
      </c>
      <c r="C193" s="17" t="s">
        <v>237</v>
      </c>
      <c r="D193" s="17" t="s">
        <v>238</v>
      </c>
      <c r="E193" s="17" t="s">
        <v>108</v>
      </c>
      <c r="F193" s="17" t="s">
        <v>109</v>
      </c>
      <c r="G193" s="17" t="s">
        <v>49</v>
      </c>
      <c r="H193" s="17">
        <v>3</v>
      </c>
      <c r="I193" s="19">
        <v>299.99</v>
      </c>
      <c r="J193" s="17" t="s">
        <v>29</v>
      </c>
      <c r="K193" s="17" t="s">
        <v>38</v>
      </c>
      <c r="L193" s="17" t="s">
        <v>25</v>
      </c>
      <c r="M193" s="18">
        <v>45204</v>
      </c>
      <c r="N193" s="19">
        <v>899.97</v>
      </c>
      <c r="O193" s="20">
        <f t="shared" si="4"/>
        <v>45658</v>
      </c>
      <c r="P193" s="21">
        <f t="shared" si="5"/>
        <v>1</v>
      </c>
      <c r="Q193" s="22">
        <f>IF(AND(OR(Analysis!$C$5="All",K193=Analysis!$C$5),OR(Analysis!$C$6="All",G193=Analysis!$C$6)),MAX(Q$1:Q192)+1,"")</f>
        <v>192</v>
      </c>
    </row>
    <row r="194" spans="1:17" ht="15.75" customHeight="1" x14ac:dyDescent="0.35">
      <c r="A194" s="17" t="s">
        <v>342</v>
      </c>
      <c r="B194" s="18">
        <v>45673</v>
      </c>
      <c r="C194" s="17" t="s">
        <v>229</v>
      </c>
      <c r="D194" s="17" t="s">
        <v>230</v>
      </c>
      <c r="E194" s="17" t="s">
        <v>129</v>
      </c>
      <c r="F194" s="17" t="s">
        <v>130</v>
      </c>
      <c r="G194" s="17" t="s">
        <v>49</v>
      </c>
      <c r="H194" s="17">
        <v>4</v>
      </c>
      <c r="I194" s="19">
        <v>199.99</v>
      </c>
      <c r="J194" s="17" t="s">
        <v>60</v>
      </c>
      <c r="K194" s="17" t="s">
        <v>38</v>
      </c>
      <c r="L194" s="17" t="s">
        <v>39</v>
      </c>
      <c r="M194" s="18">
        <v>44544</v>
      </c>
      <c r="N194" s="19">
        <v>799.96</v>
      </c>
      <c r="O194" s="20">
        <f t="shared" ref="O194:O251" si="6">DATE(YEAR(B194),MONTH(B194),1)</f>
        <v>45658</v>
      </c>
      <c r="P194" s="21">
        <f t="shared" ref="P194:P251" si="7">DATEDIF(M194,B194,"Y")</f>
        <v>3</v>
      </c>
      <c r="Q194" s="22">
        <f>IF(AND(OR(Analysis!$C$5="All",K194=Analysis!$C$5),OR(Analysis!$C$6="All",G194=Analysis!$C$6)),MAX(Q$1:Q193)+1,"")</f>
        <v>193</v>
      </c>
    </row>
    <row r="195" spans="1:17" ht="15.75" customHeight="1" x14ac:dyDescent="0.35">
      <c r="A195" s="17" t="s">
        <v>343</v>
      </c>
      <c r="B195" s="18">
        <v>45673</v>
      </c>
      <c r="C195" s="17" t="s">
        <v>214</v>
      </c>
      <c r="D195" s="17" t="s">
        <v>215</v>
      </c>
      <c r="E195" s="17" t="s">
        <v>108</v>
      </c>
      <c r="F195" s="17" t="s">
        <v>109</v>
      </c>
      <c r="G195" s="17" t="s">
        <v>49</v>
      </c>
      <c r="H195" s="17">
        <v>5</v>
      </c>
      <c r="I195" s="19">
        <v>299.99</v>
      </c>
      <c r="J195" s="17" t="s">
        <v>60</v>
      </c>
      <c r="K195" s="17" t="s">
        <v>24</v>
      </c>
      <c r="L195" s="17" t="s">
        <v>25</v>
      </c>
      <c r="M195" s="18">
        <v>44431</v>
      </c>
      <c r="N195" s="19">
        <v>1499.95</v>
      </c>
      <c r="O195" s="20">
        <f t="shared" si="6"/>
        <v>45658</v>
      </c>
      <c r="P195" s="21">
        <f t="shared" si="7"/>
        <v>3</v>
      </c>
      <c r="Q195" s="22">
        <f>IF(AND(OR(Analysis!$C$5="All",K195=Analysis!$C$5),OR(Analysis!$C$6="All",G195=Analysis!$C$6)),MAX(Q$1:Q194)+1,"")</f>
        <v>194</v>
      </c>
    </row>
    <row r="196" spans="1:17" ht="15.75" customHeight="1" x14ac:dyDescent="0.35">
      <c r="A196" s="17" t="s">
        <v>344</v>
      </c>
      <c r="B196" s="18">
        <v>45673</v>
      </c>
      <c r="C196" s="17" t="s">
        <v>62</v>
      </c>
      <c r="D196" s="17" t="s">
        <v>63</v>
      </c>
      <c r="E196" s="17" t="s">
        <v>47</v>
      </c>
      <c r="F196" s="17" t="s">
        <v>48</v>
      </c>
      <c r="G196" s="17" t="s">
        <v>49</v>
      </c>
      <c r="H196" s="17">
        <v>3</v>
      </c>
      <c r="I196" s="19">
        <v>149.99</v>
      </c>
      <c r="J196" s="17" t="s">
        <v>29</v>
      </c>
      <c r="K196" s="17" t="s">
        <v>66</v>
      </c>
      <c r="L196" s="17" t="s">
        <v>39</v>
      </c>
      <c r="M196" s="18">
        <v>44395</v>
      </c>
      <c r="N196" s="19">
        <v>449.97</v>
      </c>
      <c r="O196" s="20">
        <f t="shared" si="6"/>
        <v>45658</v>
      </c>
      <c r="P196" s="21">
        <f t="shared" si="7"/>
        <v>3</v>
      </c>
      <c r="Q196" s="22">
        <f>IF(AND(OR(Analysis!$C$5="All",K196=Analysis!$C$5),OR(Analysis!$C$6="All",G196=Analysis!$C$6)),MAX(Q$1:Q195)+1,"")</f>
        <v>195</v>
      </c>
    </row>
    <row r="197" spans="1:17" ht="15.75" customHeight="1" x14ac:dyDescent="0.35">
      <c r="A197" s="17" t="s">
        <v>345</v>
      </c>
      <c r="B197" s="18">
        <v>45676</v>
      </c>
      <c r="C197" s="17" t="s">
        <v>132</v>
      </c>
      <c r="D197" s="17" t="s">
        <v>133</v>
      </c>
      <c r="E197" s="17" t="s">
        <v>34</v>
      </c>
      <c r="F197" s="17" t="s">
        <v>35</v>
      </c>
      <c r="G197" s="17" t="s">
        <v>36</v>
      </c>
      <c r="H197" s="17">
        <v>5</v>
      </c>
      <c r="I197" s="19">
        <v>59.99</v>
      </c>
      <c r="J197" s="17" t="s">
        <v>60</v>
      </c>
      <c r="K197" s="17" t="s">
        <v>66</v>
      </c>
      <c r="L197" s="17" t="s">
        <v>25</v>
      </c>
      <c r="M197" s="18">
        <v>44642</v>
      </c>
      <c r="N197" s="19">
        <v>299.95</v>
      </c>
      <c r="O197" s="20">
        <f t="shared" si="6"/>
        <v>45658</v>
      </c>
      <c r="P197" s="21">
        <f t="shared" si="7"/>
        <v>2</v>
      </c>
      <c r="Q197" s="22">
        <f>IF(AND(OR(Analysis!$C$5="All",K197=Analysis!$C$5),OR(Analysis!$C$6="All",G197=Analysis!$C$6)),MAX(Q$1:Q196)+1,"")</f>
        <v>196</v>
      </c>
    </row>
    <row r="198" spans="1:17" ht="15.75" customHeight="1" x14ac:dyDescent="0.35">
      <c r="A198" s="17" t="s">
        <v>346</v>
      </c>
      <c r="B198" s="18">
        <v>45682</v>
      </c>
      <c r="C198" s="17" t="s">
        <v>71</v>
      </c>
      <c r="D198" s="17" t="s">
        <v>72</v>
      </c>
      <c r="E198" s="17" t="s">
        <v>34</v>
      </c>
      <c r="F198" s="17" t="s">
        <v>35</v>
      </c>
      <c r="G198" s="17" t="s">
        <v>36</v>
      </c>
      <c r="H198" s="17">
        <v>4</v>
      </c>
      <c r="I198" s="19">
        <v>59.99</v>
      </c>
      <c r="J198" s="17" t="s">
        <v>60</v>
      </c>
      <c r="K198" s="17" t="s">
        <v>66</v>
      </c>
      <c r="L198" s="17" t="s">
        <v>39</v>
      </c>
      <c r="M198" s="18">
        <v>44564</v>
      </c>
      <c r="N198" s="19">
        <v>239.96</v>
      </c>
      <c r="O198" s="20">
        <f t="shared" si="6"/>
        <v>45658</v>
      </c>
      <c r="P198" s="21">
        <f t="shared" si="7"/>
        <v>3</v>
      </c>
      <c r="Q198" s="22">
        <f>IF(AND(OR(Analysis!$C$5="All",K198=Analysis!$C$5),OR(Analysis!$C$6="All",G198=Analysis!$C$6)),MAX(Q$1:Q197)+1,"")</f>
        <v>197</v>
      </c>
    </row>
    <row r="199" spans="1:17" ht="15.75" customHeight="1" x14ac:dyDescent="0.35">
      <c r="A199" s="17" t="s">
        <v>347</v>
      </c>
      <c r="B199" s="18">
        <v>45683</v>
      </c>
      <c r="C199" s="17" t="s">
        <v>51</v>
      </c>
      <c r="D199" s="17" t="s">
        <v>52</v>
      </c>
      <c r="E199" s="17" t="s">
        <v>20</v>
      </c>
      <c r="F199" s="17" t="s">
        <v>21</v>
      </c>
      <c r="G199" s="17" t="s">
        <v>22</v>
      </c>
      <c r="H199" s="17">
        <v>4</v>
      </c>
      <c r="I199" s="19">
        <v>249.99</v>
      </c>
      <c r="J199" s="17" t="s">
        <v>60</v>
      </c>
      <c r="K199" s="17" t="s">
        <v>24</v>
      </c>
      <c r="L199" s="17" t="s">
        <v>30</v>
      </c>
      <c r="M199" s="18">
        <v>45217</v>
      </c>
      <c r="N199" s="19">
        <v>999.96</v>
      </c>
      <c r="O199" s="20">
        <f t="shared" si="6"/>
        <v>45658</v>
      </c>
      <c r="P199" s="21">
        <f t="shared" si="7"/>
        <v>1</v>
      </c>
      <c r="Q199" s="22">
        <f>IF(AND(OR(Analysis!$C$5="All",K199=Analysis!$C$5),OR(Analysis!$C$6="All",G199=Analysis!$C$6)),MAX(Q$1:Q198)+1,"")</f>
        <v>198</v>
      </c>
    </row>
    <row r="200" spans="1:17" ht="15.75" customHeight="1" x14ac:dyDescent="0.35">
      <c r="A200" s="17" t="s">
        <v>348</v>
      </c>
      <c r="B200" s="18">
        <v>45686</v>
      </c>
      <c r="C200" s="17" t="s">
        <v>255</v>
      </c>
      <c r="D200" s="17" t="s">
        <v>256</v>
      </c>
      <c r="E200" s="17" t="s">
        <v>64</v>
      </c>
      <c r="F200" s="17" t="s">
        <v>65</v>
      </c>
      <c r="G200" s="17" t="s">
        <v>22</v>
      </c>
      <c r="H200" s="17">
        <v>4</v>
      </c>
      <c r="I200" s="19">
        <v>899.99</v>
      </c>
      <c r="J200" s="17" t="s">
        <v>37</v>
      </c>
      <c r="K200" s="17" t="s">
        <v>24</v>
      </c>
      <c r="L200" s="17" t="s">
        <v>25</v>
      </c>
      <c r="M200" s="18">
        <v>44734</v>
      </c>
      <c r="N200" s="19">
        <v>3599.96</v>
      </c>
      <c r="O200" s="20">
        <f t="shared" si="6"/>
        <v>45658</v>
      </c>
      <c r="P200" s="21">
        <f t="shared" si="7"/>
        <v>2</v>
      </c>
      <c r="Q200" s="22">
        <f>IF(AND(OR(Analysis!$C$5="All",K200=Analysis!$C$5),OR(Analysis!$C$6="All",G200=Analysis!$C$6)),MAX(Q$1:Q199)+1,"")</f>
        <v>199</v>
      </c>
    </row>
    <row r="201" spans="1:17" ht="15.75" customHeight="1" x14ac:dyDescent="0.35">
      <c r="A201" s="17" t="s">
        <v>349</v>
      </c>
      <c r="B201" s="18">
        <v>45686</v>
      </c>
      <c r="C201" s="17" t="s">
        <v>89</v>
      </c>
      <c r="D201" s="17" t="s">
        <v>90</v>
      </c>
      <c r="E201" s="17" t="s">
        <v>108</v>
      </c>
      <c r="F201" s="17" t="s">
        <v>109</v>
      </c>
      <c r="G201" s="17" t="s">
        <v>49</v>
      </c>
      <c r="H201" s="17">
        <v>3</v>
      </c>
      <c r="I201" s="19">
        <v>299.99</v>
      </c>
      <c r="J201" s="17" t="s">
        <v>60</v>
      </c>
      <c r="K201" s="17" t="s">
        <v>53</v>
      </c>
      <c r="L201" s="17" t="s">
        <v>39</v>
      </c>
      <c r="M201" s="18">
        <v>44952</v>
      </c>
      <c r="N201" s="19">
        <v>899.97</v>
      </c>
      <c r="O201" s="20">
        <f t="shared" si="6"/>
        <v>45658</v>
      </c>
      <c r="P201" s="21">
        <f t="shared" si="7"/>
        <v>2</v>
      </c>
      <c r="Q201" s="22">
        <f>IF(AND(OR(Analysis!$C$5="All",K201=Analysis!$C$5),OR(Analysis!$C$6="All",G201=Analysis!$C$6)),MAX(Q$1:Q200)+1,"")</f>
        <v>200</v>
      </c>
    </row>
    <row r="202" spans="1:17" ht="15.75" customHeight="1" x14ac:dyDescent="0.35">
      <c r="A202" s="17" t="s">
        <v>350</v>
      </c>
      <c r="B202" s="18">
        <v>45686</v>
      </c>
      <c r="C202" s="17" t="s">
        <v>296</v>
      </c>
      <c r="D202" s="17" t="s">
        <v>297</v>
      </c>
      <c r="E202" s="17" t="s">
        <v>83</v>
      </c>
      <c r="F202" s="17" t="s">
        <v>84</v>
      </c>
      <c r="G202" s="17" t="s">
        <v>22</v>
      </c>
      <c r="H202" s="17">
        <v>2</v>
      </c>
      <c r="I202" s="19">
        <v>699.99</v>
      </c>
      <c r="J202" s="17" t="s">
        <v>60</v>
      </c>
      <c r="K202" s="17" t="s">
        <v>24</v>
      </c>
      <c r="L202" s="17" t="s">
        <v>30</v>
      </c>
      <c r="M202" s="18">
        <v>44681</v>
      </c>
      <c r="N202" s="19">
        <v>1399.98</v>
      </c>
      <c r="O202" s="20">
        <f t="shared" si="6"/>
        <v>45658</v>
      </c>
      <c r="P202" s="21">
        <f t="shared" si="7"/>
        <v>2</v>
      </c>
      <c r="Q202" s="22">
        <f>IF(AND(OR(Analysis!$C$5="All",K202=Analysis!$C$5),OR(Analysis!$C$6="All",G202=Analysis!$C$6)),MAX(Q$1:Q201)+1,"")</f>
        <v>201</v>
      </c>
    </row>
    <row r="203" spans="1:17" ht="15.75" customHeight="1" x14ac:dyDescent="0.35">
      <c r="A203" s="17" t="s">
        <v>351</v>
      </c>
      <c r="B203" s="18">
        <v>45688</v>
      </c>
      <c r="C203" s="17" t="s">
        <v>68</v>
      </c>
      <c r="D203" s="17" t="s">
        <v>69</v>
      </c>
      <c r="E203" s="17" t="s">
        <v>83</v>
      </c>
      <c r="F203" s="17" t="s">
        <v>84</v>
      </c>
      <c r="G203" s="17" t="s">
        <v>22</v>
      </c>
      <c r="H203" s="17">
        <v>4</v>
      </c>
      <c r="I203" s="19">
        <v>699.99</v>
      </c>
      <c r="J203" s="17" t="s">
        <v>60</v>
      </c>
      <c r="K203" s="17" t="s">
        <v>53</v>
      </c>
      <c r="L203" s="17" t="s">
        <v>30</v>
      </c>
      <c r="M203" s="18">
        <v>44692</v>
      </c>
      <c r="N203" s="19">
        <v>2799.96</v>
      </c>
      <c r="O203" s="20">
        <f t="shared" si="6"/>
        <v>45658</v>
      </c>
      <c r="P203" s="21">
        <f t="shared" si="7"/>
        <v>2</v>
      </c>
      <c r="Q203" s="22">
        <f>IF(AND(OR(Analysis!$C$5="All",K203=Analysis!$C$5),OR(Analysis!$C$6="All",G203=Analysis!$C$6)),MAX(Q$1:Q202)+1,"")</f>
        <v>202</v>
      </c>
    </row>
    <row r="204" spans="1:17" ht="15.75" customHeight="1" x14ac:dyDescent="0.35">
      <c r="A204" s="17" t="s">
        <v>352</v>
      </c>
      <c r="B204" s="18">
        <v>45688</v>
      </c>
      <c r="C204" s="17" t="s">
        <v>126</v>
      </c>
      <c r="D204" s="17" t="s">
        <v>127</v>
      </c>
      <c r="E204" s="17" t="s">
        <v>120</v>
      </c>
      <c r="F204" s="17" t="s">
        <v>121</v>
      </c>
      <c r="G204" s="17" t="s">
        <v>22</v>
      </c>
      <c r="H204" s="17">
        <v>2</v>
      </c>
      <c r="I204" s="19">
        <v>89.99</v>
      </c>
      <c r="J204" s="17" t="s">
        <v>60</v>
      </c>
      <c r="K204" s="17" t="s">
        <v>38</v>
      </c>
      <c r="L204" s="17" t="s">
        <v>25</v>
      </c>
      <c r="M204" s="18">
        <v>44777</v>
      </c>
      <c r="N204" s="19">
        <v>179.98</v>
      </c>
      <c r="O204" s="20">
        <f t="shared" si="6"/>
        <v>45658</v>
      </c>
      <c r="P204" s="21">
        <f t="shared" si="7"/>
        <v>2</v>
      </c>
      <c r="Q204" s="22">
        <f>IF(AND(OR(Analysis!$C$5="All",K204=Analysis!$C$5),OR(Analysis!$C$6="All",G204=Analysis!$C$6)),MAX(Q$1:Q203)+1,"")</f>
        <v>203</v>
      </c>
    </row>
    <row r="205" spans="1:17" ht="15.75" customHeight="1" x14ac:dyDescent="0.35">
      <c r="A205" s="17" t="s">
        <v>353</v>
      </c>
      <c r="B205" s="18">
        <v>45688</v>
      </c>
      <c r="C205" s="17" t="s">
        <v>45</v>
      </c>
      <c r="D205" s="17" t="s">
        <v>46</v>
      </c>
      <c r="E205" s="17" t="s">
        <v>120</v>
      </c>
      <c r="F205" s="17" t="s">
        <v>121</v>
      </c>
      <c r="G205" s="17" t="s">
        <v>22</v>
      </c>
      <c r="H205" s="17">
        <v>3</v>
      </c>
      <c r="I205" s="19">
        <v>89.99</v>
      </c>
      <c r="J205" s="17" t="s">
        <v>60</v>
      </c>
      <c r="K205" s="17" t="s">
        <v>38</v>
      </c>
      <c r="L205" s="17" t="s">
        <v>30</v>
      </c>
      <c r="M205" s="18">
        <v>45307</v>
      </c>
      <c r="N205" s="19">
        <v>269.97000000000003</v>
      </c>
      <c r="O205" s="20">
        <f t="shared" si="6"/>
        <v>45658</v>
      </c>
      <c r="P205" s="21">
        <f t="shared" si="7"/>
        <v>1</v>
      </c>
      <c r="Q205" s="22">
        <f>IF(AND(OR(Analysis!$C$5="All",K205=Analysis!$C$5),OR(Analysis!$C$6="All",G205=Analysis!$C$6)),MAX(Q$1:Q204)+1,"")</f>
        <v>204</v>
      </c>
    </row>
    <row r="206" spans="1:17" ht="15.75" customHeight="1" x14ac:dyDescent="0.35">
      <c r="A206" s="17" t="s">
        <v>354</v>
      </c>
      <c r="B206" s="18">
        <v>45692</v>
      </c>
      <c r="C206" s="17" t="s">
        <v>328</v>
      </c>
      <c r="D206" s="17" t="s">
        <v>329</v>
      </c>
      <c r="E206" s="17" t="s">
        <v>34</v>
      </c>
      <c r="F206" s="17" t="s">
        <v>35</v>
      </c>
      <c r="G206" s="17" t="s">
        <v>36</v>
      </c>
      <c r="H206" s="17">
        <v>1</v>
      </c>
      <c r="I206" s="19">
        <v>59.99</v>
      </c>
      <c r="J206" s="17" t="s">
        <v>60</v>
      </c>
      <c r="K206" s="17" t="s">
        <v>24</v>
      </c>
      <c r="L206" s="17" t="s">
        <v>39</v>
      </c>
      <c r="M206" s="18">
        <v>45045</v>
      </c>
      <c r="N206" s="19">
        <v>59.99</v>
      </c>
      <c r="O206" s="20">
        <f t="shared" si="6"/>
        <v>45689</v>
      </c>
      <c r="P206" s="21">
        <f t="shared" si="7"/>
        <v>1</v>
      </c>
      <c r="Q206" s="22">
        <f>IF(AND(OR(Analysis!$C$5="All",K206=Analysis!$C$5),OR(Analysis!$C$6="All",G206=Analysis!$C$6)),MAX(Q$1:Q205)+1,"")</f>
        <v>205</v>
      </c>
    </row>
    <row r="207" spans="1:17" ht="15.75" customHeight="1" x14ac:dyDescent="0.35">
      <c r="A207" s="17" t="s">
        <v>355</v>
      </c>
      <c r="B207" s="18">
        <v>45695</v>
      </c>
      <c r="C207" s="17" t="s">
        <v>249</v>
      </c>
      <c r="D207" s="17" t="s">
        <v>250</v>
      </c>
      <c r="E207" s="17" t="s">
        <v>47</v>
      </c>
      <c r="F207" s="17" t="s">
        <v>48</v>
      </c>
      <c r="G207" s="17" t="s">
        <v>49</v>
      </c>
      <c r="H207" s="17">
        <v>3</v>
      </c>
      <c r="I207" s="19">
        <v>149.99</v>
      </c>
      <c r="J207" s="17" t="s">
        <v>60</v>
      </c>
      <c r="K207" s="17" t="s">
        <v>43</v>
      </c>
      <c r="L207" s="17" t="s">
        <v>30</v>
      </c>
      <c r="M207" s="18">
        <v>44564</v>
      </c>
      <c r="N207" s="19">
        <v>449.97</v>
      </c>
      <c r="O207" s="20">
        <f t="shared" si="6"/>
        <v>45689</v>
      </c>
      <c r="P207" s="21">
        <f t="shared" si="7"/>
        <v>3</v>
      </c>
      <c r="Q207" s="22">
        <f>IF(AND(OR(Analysis!$C$5="All",K207=Analysis!$C$5),OR(Analysis!$C$6="All",G207=Analysis!$C$6)),MAX(Q$1:Q206)+1,"")</f>
        <v>206</v>
      </c>
    </row>
    <row r="208" spans="1:17" ht="15.75" customHeight="1" x14ac:dyDescent="0.35">
      <c r="A208" s="17" t="s">
        <v>356</v>
      </c>
      <c r="B208" s="18">
        <v>45695</v>
      </c>
      <c r="C208" s="17" t="s">
        <v>96</v>
      </c>
      <c r="D208" s="17" t="s">
        <v>97</v>
      </c>
      <c r="E208" s="17" t="s">
        <v>108</v>
      </c>
      <c r="F208" s="17" t="s">
        <v>109</v>
      </c>
      <c r="G208" s="17" t="s">
        <v>49</v>
      </c>
      <c r="H208" s="17">
        <v>5</v>
      </c>
      <c r="I208" s="19">
        <v>299.99</v>
      </c>
      <c r="J208" s="17" t="s">
        <v>29</v>
      </c>
      <c r="K208" s="17" t="s">
        <v>38</v>
      </c>
      <c r="L208" s="17" t="s">
        <v>25</v>
      </c>
      <c r="M208" s="18">
        <v>44959</v>
      </c>
      <c r="N208" s="19">
        <v>1499.95</v>
      </c>
      <c r="O208" s="20">
        <f t="shared" si="6"/>
        <v>45689</v>
      </c>
      <c r="P208" s="21">
        <f t="shared" si="7"/>
        <v>2</v>
      </c>
      <c r="Q208" s="22">
        <f>IF(AND(OR(Analysis!$C$5="All",K208=Analysis!$C$5),OR(Analysis!$C$6="All",G208=Analysis!$C$6)),MAX(Q$1:Q207)+1,"")</f>
        <v>207</v>
      </c>
    </row>
    <row r="209" spans="1:17" ht="15.75" customHeight="1" x14ac:dyDescent="0.35">
      <c r="A209" s="17" t="s">
        <v>357</v>
      </c>
      <c r="B209" s="18">
        <v>45696</v>
      </c>
      <c r="C209" s="17" t="s">
        <v>153</v>
      </c>
      <c r="D209" s="17" t="s">
        <v>154</v>
      </c>
      <c r="E209" s="17" t="s">
        <v>34</v>
      </c>
      <c r="F209" s="17" t="s">
        <v>35</v>
      </c>
      <c r="G209" s="17" t="s">
        <v>36</v>
      </c>
      <c r="H209" s="17">
        <v>5</v>
      </c>
      <c r="I209" s="19">
        <v>59.99</v>
      </c>
      <c r="J209" s="17" t="s">
        <v>60</v>
      </c>
      <c r="K209" s="17" t="s">
        <v>24</v>
      </c>
      <c r="L209" s="17" t="s">
        <v>39</v>
      </c>
      <c r="M209" s="18">
        <v>45177</v>
      </c>
      <c r="N209" s="19">
        <v>299.95</v>
      </c>
      <c r="O209" s="20">
        <f t="shared" si="6"/>
        <v>45689</v>
      </c>
      <c r="P209" s="21">
        <f t="shared" si="7"/>
        <v>1</v>
      </c>
      <c r="Q209" s="22">
        <f>IF(AND(OR(Analysis!$C$5="All",K209=Analysis!$C$5),OR(Analysis!$C$6="All",G209=Analysis!$C$6)),MAX(Q$1:Q208)+1,"")</f>
        <v>208</v>
      </c>
    </row>
    <row r="210" spans="1:17" ht="15.75" customHeight="1" x14ac:dyDescent="0.35">
      <c r="A210" s="17" t="s">
        <v>358</v>
      </c>
      <c r="B210" s="18">
        <v>45701</v>
      </c>
      <c r="C210" s="17" t="s">
        <v>111</v>
      </c>
      <c r="D210" s="17" t="s">
        <v>112</v>
      </c>
      <c r="E210" s="17" t="s">
        <v>117</v>
      </c>
      <c r="F210" s="17" t="s">
        <v>118</v>
      </c>
      <c r="G210" s="17" t="s">
        <v>36</v>
      </c>
      <c r="H210" s="17">
        <v>3</v>
      </c>
      <c r="I210" s="19">
        <v>79.989999999999995</v>
      </c>
      <c r="J210" s="17" t="s">
        <v>23</v>
      </c>
      <c r="K210" s="17" t="s">
        <v>66</v>
      </c>
      <c r="L210" s="17" t="s">
        <v>30</v>
      </c>
      <c r="M210" s="18">
        <v>44436</v>
      </c>
      <c r="N210" s="19">
        <v>239.97</v>
      </c>
      <c r="O210" s="20">
        <f t="shared" si="6"/>
        <v>45689</v>
      </c>
      <c r="P210" s="21">
        <f t="shared" si="7"/>
        <v>3</v>
      </c>
      <c r="Q210" s="22">
        <f>IF(AND(OR(Analysis!$C$5="All",K210=Analysis!$C$5),OR(Analysis!$C$6="All",G210=Analysis!$C$6)),MAX(Q$1:Q209)+1,"")</f>
        <v>209</v>
      </c>
    </row>
    <row r="211" spans="1:17" ht="15.75" customHeight="1" x14ac:dyDescent="0.35">
      <c r="A211" s="17" t="s">
        <v>359</v>
      </c>
      <c r="B211" s="18">
        <v>45704</v>
      </c>
      <c r="C211" s="17" t="s">
        <v>32</v>
      </c>
      <c r="D211" s="17" t="s">
        <v>33</v>
      </c>
      <c r="E211" s="17" t="s">
        <v>129</v>
      </c>
      <c r="F211" s="17" t="s">
        <v>130</v>
      </c>
      <c r="G211" s="17" t="s">
        <v>49</v>
      </c>
      <c r="H211" s="17">
        <v>3</v>
      </c>
      <c r="I211" s="19">
        <v>199.99</v>
      </c>
      <c r="J211" s="17" t="s">
        <v>23</v>
      </c>
      <c r="K211" s="17" t="s">
        <v>24</v>
      </c>
      <c r="L211" s="17" t="s">
        <v>25</v>
      </c>
      <c r="M211" s="18">
        <v>44735</v>
      </c>
      <c r="N211" s="19">
        <v>599.97</v>
      </c>
      <c r="O211" s="20">
        <f t="shared" si="6"/>
        <v>45689</v>
      </c>
      <c r="P211" s="21">
        <f t="shared" si="7"/>
        <v>2</v>
      </c>
      <c r="Q211" s="22">
        <f>IF(AND(OR(Analysis!$C$5="All",K211=Analysis!$C$5),OR(Analysis!$C$6="All",G211=Analysis!$C$6)),MAX(Q$1:Q210)+1,"")</f>
        <v>210</v>
      </c>
    </row>
    <row r="212" spans="1:17" ht="15.75" customHeight="1" x14ac:dyDescent="0.35">
      <c r="A212" s="17" t="s">
        <v>360</v>
      </c>
      <c r="B212" s="18">
        <v>45704</v>
      </c>
      <c r="C212" s="17" t="s">
        <v>18</v>
      </c>
      <c r="D212" s="17" t="s">
        <v>19</v>
      </c>
      <c r="E212" s="17" t="s">
        <v>120</v>
      </c>
      <c r="F212" s="17" t="s">
        <v>121</v>
      </c>
      <c r="G212" s="17" t="s">
        <v>22</v>
      </c>
      <c r="H212" s="17">
        <v>2</v>
      </c>
      <c r="I212" s="19">
        <v>89.99</v>
      </c>
      <c r="J212" s="17" t="s">
        <v>37</v>
      </c>
      <c r="K212" s="17" t="s">
        <v>24</v>
      </c>
      <c r="L212" s="17" t="s">
        <v>25</v>
      </c>
      <c r="M212" s="18">
        <v>45257</v>
      </c>
      <c r="N212" s="19">
        <v>179.98</v>
      </c>
      <c r="O212" s="20">
        <f t="shared" si="6"/>
        <v>45689</v>
      </c>
      <c r="P212" s="21">
        <f t="shared" si="7"/>
        <v>1</v>
      </c>
      <c r="Q212" s="22">
        <f>IF(AND(OR(Analysis!$C$5="All",K212=Analysis!$C$5),OR(Analysis!$C$6="All",G212=Analysis!$C$6)),MAX(Q$1:Q211)+1,"")</f>
        <v>211</v>
      </c>
    </row>
    <row r="213" spans="1:17" ht="15.75" customHeight="1" x14ac:dyDescent="0.35">
      <c r="A213" s="17" t="s">
        <v>361</v>
      </c>
      <c r="B213" s="18">
        <v>45705</v>
      </c>
      <c r="C213" s="17" t="s">
        <v>262</v>
      </c>
      <c r="D213" s="17" t="s">
        <v>263</v>
      </c>
      <c r="E213" s="17" t="s">
        <v>47</v>
      </c>
      <c r="F213" s="17" t="s">
        <v>48</v>
      </c>
      <c r="G213" s="17" t="s">
        <v>49</v>
      </c>
      <c r="H213" s="17">
        <v>2</v>
      </c>
      <c r="I213" s="19">
        <v>149.99</v>
      </c>
      <c r="J213" s="17" t="s">
        <v>23</v>
      </c>
      <c r="K213" s="17" t="s">
        <v>38</v>
      </c>
      <c r="L213" s="17" t="s">
        <v>30</v>
      </c>
      <c r="M213" s="18">
        <v>44728</v>
      </c>
      <c r="N213" s="19">
        <v>299.98</v>
      </c>
      <c r="O213" s="20">
        <f t="shared" si="6"/>
        <v>45689</v>
      </c>
      <c r="P213" s="21">
        <f t="shared" si="7"/>
        <v>2</v>
      </c>
      <c r="Q213" s="22">
        <f>IF(AND(OR(Analysis!$C$5="All",K213=Analysis!$C$5),OR(Analysis!$C$6="All",G213=Analysis!$C$6)),MAX(Q$1:Q212)+1,"")</f>
        <v>212</v>
      </c>
    </row>
    <row r="214" spans="1:17" ht="15.75" customHeight="1" x14ac:dyDescent="0.35">
      <c r="A214" s="17" t="s">
        <v>362</v>
      </c>
      <c r="B214" s="18">
        <v>45707</v>
      </c>
      <c r="C214" s="17" t="s">
        <v>126</v>
      </c>
      <c r="D214" s="17" t="s">
        <v>127</v>
      </c>
      <c r="E214" s="17" t="s">
        <v>83</v>
      </c>
      <c r="F214" s="17" t="s">
        <v>84</v>
      </c>
      <c r="G214" s="17" t="s">
        <v>22</v>
      </c>
      <c r="H214" s="17">
        <v>5</v>
      </c>
      <c r="I214" s="19">
        <v>699.99</v>
      </c>
      <c r="J214" s="17" t="s">
        <v>37</v>
      </c>
      <c r="K214" s="17" t="s">
        <v>38</v>
      </c>
      <c r="L214" s="17" t="s">
        <v>30</v>
      </c>
      <c r="M214" s="18">
        <v>45352</v>
      </c>
      <c r="N214" s="19">
        <v>3499.95</v>
      </c>
      <c r="O214" s="20">
        <f t="shared" si="6"/>
        <v>45689</v>
      </c>
      <c r="P214" s="21">
        <f t="shared" si="7"/>
        <v>0</v>
      </c>
      <c r="Q214" s="22">
        <f>IF(AND(OR(Analysis!$C$5="All",K214=Analysis!$C$5),OR(Analysis!$C$6="All",G214=Analysis!$C$6)),MAX(Q$1:Q213)+1,"")</f>
        <v>213</v>
      </c>
    </row>
    <row r="215" spans="1:17" ht="15.75" customHeight="1" x14ac:dyDescent="0.35">
      <c r="A215" s="17" t="s">
        <v>363</v>
      </c>
      <c r="B215" s="18">
        <v>45707</v>
      </c>
      <c r="C215" s="17" t="s">
        <v>45</v>
      </c>
      <c r="D215" s="17" t="s">
        <v>46</v>
      </c>
      <c r="E215" s="17" t="s">
        <v>47</v>
      </c>
      <c r="F215" s="17" t="s">
        <v>48</v>
      </c>
      <c r="G215" s="17" t="s">
        <v>49</v>
      </c>
      <c r="H215" s="17">
        <v>3</v>
      </c>
      <c r="I215" s="19">
        <v>149.99</v>
      </c>
      <c r="J215" s="17" t="s">
        <v>37</v>
      </c>
      <c r="K215" s="17" t="s">
        <v>24</v>
      </c>
      <c r="L215" s="17" t="s">
        <v>39</v>
      </c>
      <c r="M215" s="18">
        <v>44633</v>
      </c>
      <c r="N215" s="19">
        <v>449.97</v>
      </c>
      <c r="O215" s="20">
        <f t="shared" si="6"/>
        <v>45689</v>
      </c>
      <c r="P215" s="21">
        <f t="shared" si="7"/>
        <v>2</v>
      </c>
      <c r="Q215" s="22">
        <f>IF(AND(OR(Analysis!$C$5="All",K215=Analysis!$C$5),OR(Analysis!$C$6="All",G215=Analysis!$C$6)),MAX(Q$1:Q214)+1,"")</f>
        <v>214</v>
      </c>
    </row>
    <row r="216" spans="1:17" ht="15.75" customHeight="1" x14ac:dyDescent="0.35">
      <c r="A216" s="17" t="s">
        <v>364</v>
      </c>
      <c r="B216" s="18">
        <v>45708</v>
      </c>
      <c r="C216" s="17" t="s">
        <v>99</v>
      </c>
      <c r="D216" s="17" t="s">
        <v>100</v>
      </c>
      <c r="E216" s="17" t="s">
        <v>64</v>
      </c>
      <c r="F216" s="17" t="s">
        <v>65</v>
      </c>
      <c r="G216" s="17" t="s">
        <v>22</v>
      </c>
      <c r="H216" s="17">
        <v>3</v>
      </c>
      <c r="I216" s="19">
        <v>899.99</v>
      </c>
      <c r="J216" s="17" t="s">
        <v>23</v>
      </c>
      <c r="K216" s="17" t="s">
        <v>66</v>
      </c>
      <c r="L216" s="17" t="s">
        <v>39</v>
      </c>
      <c r="M216" s="18">
        <v>44613</v>
      </c>
      <c r="N216" s="19">
        <v>2699.97</v>
      </c>
      <c r="O216" s="20">
        <f t="shared" si="6"/>
        <v>45689</v>
      </c>
      <c r="P216" s="21">
        <f t="shared" si="7"/>
        <v>2</v>
      </c>
      <c r="Q216" s="22">
        <f>IF(AND(OR(Analysis!$C$5="All",K216=Analysis!$C$5),OR(Analysis!$C$6="All",G216=Analysis!$C$6)),MAX(Q$1:Q215)+1,"")</f>
        <v>215</v>
      </c>
    </row>
    <row r="217" spans="1:17" ht="15.75" customHeight="1" x14ac:dyDescent="0.35">
      <c r="A217" s="17" t="s">
        <v>365</v>
      </c>
      <c r="B217" s="18">
        <v>45708</v>
      </c>
      <c r="C217" s="17" t="s">
        <v>195</v>
      </c>
      <c r="D217" s="17" t="s">
        <v>196</v>
      </c>
      <c r="E217" s="17" t="s">
        <v>129</v>
      </c>
      <c r="F217" s="17" t="s">
        <v>130</v>
      </c>
      <c r="G217" s="17" t="s">
        <v>49</v>
      </c>
      <c r="H217" s="17">
        <v>3</v>
      </c>
      <c r="I217" s="19">
        <v>199.99</v>
      </c>
      <c r="J217" s="17" t="s">
        <v>23</v>
      </c>
      <c r="K217" s="17" t="s">
        <v>53</v>
      </c>
      <c r="L217" s="17" t="s">
        <v>30</v>
      </c>
      <c r="M217" s="18">
        <v>44823</v>
      </c>
      <c r="N217" s="19">
        <v>599.97</v>
      </c>
      <c r="O217" s="20">
        <f t="shared" si="6"/>
        <v>45689</v>
      </c>
      <c r="P217" s="21">
        <f t="shared" si="7"/>
        <v>2</v>
      </c>
      <c r="Q217" s="22">
        <f>IF(AND(OR(Analysis!$C$5="All",K217=Analysis!$C$5),OR(Analysis!$C$6="All",G217=Analysis!$C$6)),MAX(Q$1:Q216)+1,"")</f>
        <v>216</v>
      </c>
    </row>
    <row r="218" spans="1:17" ht="15.75" customHeight="1" x14ac:dyDescent="0.35">
      <c r="A218" s="17" t="s">
        <v>366</v>
      </c>
      <c r="B218" s="18">
        <v>45710</v>
      </c>
      <c r="C218" s="17" t="s">
        <v>58</v>
      </c>
      <c r="D218" s="17" t="s">
        <v>59</v>
      </c>
      <c r="E218" s="17" t="s">
        <v>108</v>
      </c>
      <c r="F218" s="17" t="s">
        <v>109</v>
      </c>
      <c r="G218" s="17" t="s">
        <v>49</v>
      </c>
      <c r="H218" s="17">
        <v>5</v>
      </c>
      <c r="I218" s="19">
        <v>299.99</v>
      </c>
      <c r="J218" s="17" t="s">
        <v>23</v>
      </c>
      <c r="K218" s="17" t="s">
        <v>53</v>
      </c>
      <c r="L218" s="17" t="s">
        <v>39</v>
      </c>
      <c r="M218" s="18">
        <v>45142</v>
      </c>
      <c r="N218" s="19">
        <v>1499.95</v>
      </c>
      <c r="O218" s="20">
        <f t="shared" si="6"/>
        <v>45689</v>
      </c>
      <c r="P218" s="21">
        <f t="shared" si="7"/>
        <v>1</v>
      </c>
      <c r="Q218" s="22">
        <f>IF(AND(OR(Analysis!$C$5="All",K218=Analysis!$C$5),OR(Analysis!$C$6="All",G218=Analysis!$C$6)),MAX(Q$1:Q217)+1,"")</f>
        <v>217</v>
      </c>
    </row>
    <row r="219" spans="1:17" ht="15.75" customHeight="1" x14ac:dyDescent="0.35">
      <c r="A219" s="17" t="s">
        <v>367</v>
      </c>
      <c r="B219" s="18">
        <v>45710</v>
      </c>
      <c r="C219" s="17" t="s">
        <v>153</v>
      </c>
      <c r="D219" s="17" t="s">
        <v>154</v>
      </c>
      <c r="E219" s="17" t="s">
        <v>83</v>
      </c>
      <c r="F219" s="17" t="s">
        <v>84</v>
      </c>
      <c r="G219" s="17" t="s">
        <v>22</v>
      </c>
      <c r="H219" s="17">
        <v>1</v>
      </c>
      <c r="I219" s="19">
        <v>699.99</v>
      </c>
      <c r="J219" s="17" t="s">
        <v>37</v>
      </c>
      <c r="K219" s="17" t="s">
        <v>53</v>
      </c>
      <c r="L219" s="17" t="s">
        <v>25</v>
      </c>
      <c r="M219" s="18">
        <v>44934</v>
      </c>
      <c r="N219" s="19">
        <v>699.99</v>
      </c>
      <c r="O219" s="20">
        <f t="shared" si="6"/>
        <v>45689</v>
      </c>
      <c r="P219" s="21">
        <f t="shared" si="7"/>
        <v>2</v>
      </c>
      <c r="Q219" s="22">
        <f>IF(AND(OR(Analysis!$C$5="All",K219=Analysis!$C$5),OR(Analysis!$C$6="All",G219=Analysis!$C$6)),MAX(Q$1:Q218)+1,"")</f>
        <v>218</v>
      </c>
    </row>
    <row r="220" spans="1:17" ht="15.75" customHeight="1" x14ac:dyDescent="0.35">
      <c r="A220" s="17" t="s">
        <v>368</v>
      </c>
      <c r="B220" s="18">
        <v>45711</v>
      </c>
      <c r="C220" s="17" t="s">
        <v>249</v>
      </c>
      <c r="D220" s="17" t="s">
        <v>250</v>
      </c>
      <c r="E220" s="17" t="s">
        <v>83</v>
      </c>
      <c r="F220" s="17" t="s">
        <v>84</v>
      </c>
      <c r="G220" s="17" t="s">
        <v>22</v>
      </c>
      <c r="H220" s="17">
        <v>1</v>
      </c>
      <c r="I220" s="19">
        <v>699.99</v>
      </c>
      <c r="J220" s="17" t="s">
        <v>23</v>
      </c>
      <c r="K220" s="17" t="s">
        <v>43</v>
      </c>
      <c r="L220" s="17" t="s">
        <v>30</v>
      </c>
      <c r="M220" s="18">
        <v>44583</v>
      </c>
      <c r="N220" s="19">
        <v>699.99</v>
      </c>
      <c r="O220" s="20">
        <f t="shared" si="6"/>
        <v>45689</v>
      </c>
      <c r="P220" s="21">
        <f t="shared" si="7"/>
        <v>3</v>
      </c>
      <c r="Q220" s="22">
        <f>IF(AND(OR(Analysis!$C$5="All",K220=Analysis!$C$5),OR(Analysis!$C$6="All",G220=Analysis!$C$6)),MAX(Q$1:Q219)+1,"")</f>
        <v>219</v>
      </c>
    </row>
    <row r="221" spans="1:17" ht="15.75" customHeight="1" x14ac:dyDescent="0.35">
      <c r="A221" s="17" t="s">
        <v>369</v>
      </c>
      <c r="B221" s="18">
        <v>45711</v>
      </c>
      <c r="C221" s="17" t="s">
        <v>328</v>
      </c>
      <c r="D221" s="17" t="s">
        <v>329</v>
      </c>
      <c r="E221" s="17" t="s">
        <v>47</v>
      </c>
      <c r="F221" s="17" t="s">
        <v>48</v>
      </c>
      <c r="G221" s="17" t="s">
        <v>49</v>
      </c>
      <c r="H221" s="17">
        <v>4</v>
      </c>
      <c r="I221" s="19">
        <v>149.99</v>
      </c>
      <c r="J221" s="17" t="s">
        <v>37</v>
      </c>
      <c r="K221" s="17" t="s">
        <v>43</v>
      </c>
      <c r="L221" s="17" t="s">
        <v>30</v>
      </c>
      <c r="M221" s="18">
        <v>44412</v>
      </c>
      <c r="N221" s="19">
        <v>599.96</v>
      </c>
      <c r="O221" s="20">
        <f t="shared" si="6"/>
        <v>45689</v>
      </c>
      <c r="P221" s="21">
        <f t="shared" si="7"/>
        <v>3</v>
      </c>
      <c r="Q221" s="22">
        <f>IF(AND(OR(Analysis!$C$5="All",K221=Analysis!$C$5),OR(Analysis!$C$6="All",G221=Analysis!$C$6)),MAX(Q$1:Q220)+1,"")</f>
        <v>220</v>
      </c>
    </row>
    <row r="222" spans="1:17" ht="15.75" customHeight="1" x14ac:dyDescent="0.35">
      <c r="A222" s="17" t="s">
        <v>370</v>
      </c>
      <c r="B222" s="18">
        <v>45711</v>
      </c>
      <c r="C222" s="17" t="s">
        <v>214</v>
      </c>
      <c r="D222" s="17" t="s">
        <v>215</v>
      </c>
      <c r="E222" s="17" t="s">
        <v>120</v>
      </c>
      <c r="F222" s="17" t="s">
        <v>121</v>
      </c>
      <c r="G222" s="17" t="s">
        <v>22</v>
      </c>
      <c r="H222" s="17">
        <v>5</v>
      </c>
      <c r="I222" s="19">
        <v>89.99</v>
      </c>
      <c r="J222" s="17" t="s">
        <v>37</v>
      </c>
      <c r="K222" s="17" t="s">
        <v>53</v>
      </c>
      <c r="L222" s="17" t="s">
        <v>30</v>
      </c>
      <c r="M222" s="18">
        <v>45140</v>
      </c>
      <c r="N222" s="19">
        <v>449.95</v>
      </c>
      <c r="O222" s="20">
        <f t="shared" si="6"/>
        <v>45689</v>
      </c>
      <c r="P222" s="21">
        <f t="shared" si="7"/>
        <v>1</v>
      </c>
      <c r="Q222" s="22">
        <f>IF(AND(OR(Analysis!$C$5="All",K222=Analysis!$C$5),OR(Analysis!$C$6="All",G222=Analysis!$C$6)),MAX(Q$1:Q221)+1,"")</f>
        <v>221</v>
      </c>
    </row>
    <row r="223" spans="1:17" ht="15.75" customHeight="1" x14ac:dyDescent="0.35">
      <c r="A223" s="17" t="s">
        <v>371</v>
      </c>
      <c r="B223" s="18">
        <v>45712</v>
      </c>
      <c r="C223" s="17" t="s">
        <v>141</v>
      </c>
      <c r="D223" s="17" t="s">
        <v>142</v>
      </c>
      <c r="E223" s="17" t="s">
        <v>129</v>
      </c>
      <c r="F223" s="17" t="s">
        <v>130</v>
      </c>
      <c r="G223" s="17" t="s">
        <v>49</v>
      </c>
      <c r="H223" s="17">
        <v>2</v>
      </c>
      <c r="I223" s="19">
        <v>199.99</v>
      </c>
      <c r="J223" s="17" t="s">
        <v>23</v>
      </c>
      <c r="K223" s="17" t="s">
        <v>24</v>
      </c>
      <c r="L223" s="17" t="s">
        <v>30</v>
      </c>
      <c r="M223" s="18">
        <v>44573</v>
      </c>
      <c r="N223" s="19">
        <v>399.98</v>
      </c>
      <c r="O223" s="20">
        <f t="shared" si="6"/>
        <v>45689</v>
      </c>
      <c r="P223" s="21">
        <f t="shared" si="7"/>
        <v>3</v>
      </c>
      <c r="Q223" s="22">
        <f>IF(AND(OR(Analysis!$C$5="All",K223=Analysis!$C$5),OR(Analysis!$C$6="All",G223=Analysis!$C$6)),MAX(Q$1:Q222)+1,"")</f>
        <v>222</v>
      </c>
    </row>
    <row r="224" spans="1:17" ht="15.75" customHeight="1" x14ac:dyDescent="0.35">
      <c r="A224" s="17" t="s">
        <v>372</v>
      </c>
      <c r="B224" s="18">
        <v>45715</v>
      </c>
      <c r="C224" s="17" t="s">
        <v>262</v>
      </c>
      <c r="D224" s="17" t="s">
        <v>263</v>
      </c>
      <c r="E224" s="17" t="s">
        <v>34</v>
      </c>
      <c r="F224" s="17" t="s">
        <v>35</v>
      </c>
      <c r="G224" s="17" t="s">
        <v>36</v>
      </c>
      <c r="H224" s="17">
        <v>4</v>
      </c>
      <c r="I224" s="19">
        <v>59.99</v>
      </c>
      <c r="J224" s="17" t="s">
        <v>23</v>
      </c>
      <c r="K224" s="17" t="s">
        <v>53</v>
      </c>
      <c r="L224" s="17" t="s">
        <v>39</v>
      </c>
      <c r="M224" s="18">
        <v>45070</v>
      </c>
      <c r="N224" s="19">
        <v>239.96</v>
      </c>
      <c r="O224" s="20">
        <f t="shared" si="6"/>
        <v>45689</v>
      </c>
      <c r="P224" s="21">
        <f t="shared" si="7"/>
        <v>1</v>
      </c>
      <c r="Q224" s="22">
        <f>IF(AND(OR(Analysis!$C$5="All",K224=Analysis!$C$5),OR(Analysis!$C$6="All",G224=Analysis!$C$6)),MAX(Q$1:Q223)+1,"")</f>
        <v>223</v>
      </c>
    </row>
    <row r="225" spans="1:17" ht="15.75" customHeight="1" x14ac:dyDescent="0.35">
      <c r="A225" s="17" t="s">
        <v>373</v>
      </c>
      <c r="B225" s="18">
        <v>45715</v>
      </c>
      <c r="C225" s="17" t="s">
        <v>96</v>
      </c>
      <c r="D225" s="17" t="s">
        <v>97</v>
      </c>
      <c r="E225" s="17" t="s">
        <v>108</v>
      </c>
      <c r="F225" s="17" t="s">
        <v>109</v>
      </c>
      <c r="G225" s="17" t="s">
        <v>49</v>
      </c>
      <c r="H225" s="17">
        <v>2</v>
      </c>
      <c r="I225" s="19">
        <v>299.99</v>
      </c>
      <c r="J225" s="17" t="s">
        <v>37</v>
      </c>
      <c r="K225" s="17" t="s">
        <v>38</v>
      </c>
      <c r="L225" s="17" t="s">
        <v>25</v>
      </c>
      <c r="M225" s="18">
        <v>44576</v>
      </c>
      <c r="N225" s="19">
        <v>599.98</v>
      </c>
      <c r="O225" s="20">
        <f t="shared" si="6"/>
        <v>45689</v>
      </c>
      <c r="P225" s="21">
        <f t="shared" si="7"/>
        <v>3</v>
      </c>
      <c r="Q225" s="22">
        <f>IF(AND(OR(Analysis!$C$5="All",K225=Analysis!$C$5),OR(Analysis!$C$6="All",G225=Analysis!$C$6)),MAX(Q$1:Q224)+1,"")</f>
        <v>224</v>
      </c>
    </row>
    <row r="226" spans="1:17" ht="15.75" customHeight="1" x14ac:dyDescent="0.35">
      <c r="A226" s="17" t="s">
        <v>374</v>
      </c>
      <c r="B226" s="18">
        <v>45718</v>
      </c>
      <c r="C226" s="17" t="s">
        <v>58</v>
      </c>
      <c r="D226" s="17" t="s">
        <v>59</v>
      </c>
      <c r="E226" s="17" t="s">
        <v>47</v>
      </c>
      <c r="F226" s="17" t="s">
        <v>48</v>
      </c>
      <c r="G226" s="17" t="s">
        <v>49</v>
      </c>
      <c r="H226" s="17">
        <v>2</v>
      </c>
      <c r="I226" s="19">
        <v>149.99</v>
      </c>
      <c r="J226" s="17" t="s">
        <v>23</v>
      </c>
      <c r="K226" s="17" t="s">
        <v>24</v>
      </c>
      <c r="L226" s="17" t="s">
        <v>25</v>
      </c>
      <c r="M226" s="18">
        <v>45068</v>
      </c>
      <c r="N226" s="19">
        <v>299.98</v>
      </c>
      <c r="O226" s="20">
        <f t="shared" si="6"/>
        <v>45717</v>
      </c>
      <c r="P226" s="21">
        <f t="shared" si="7"/>
        <v>1</v>
      </c>
      <c r="Q226" s="22">
        <f>IF(AND(OR(Analysis!$C$5="All",K226=Analysis!$C$5),OR(Analysis!$C$6="All",G226=Analysis!$C$6)),MAX(Q$1:Q225)+1,"")</f>
        <v>225</v>
      </c>
    </row>
    <row r="227" spans="1:17" ht="15.75" customHeight="1" x14ac:dyDescent="0.35">
      <c r="A227" s="17" t="s">
        <v>375</v>
      </c>
      <c r="B227" s="18">
        <v>45720</v>
      </c>
      <c r="C227" s="17" t="s">
        <v>229</v>
      </c>
      <c r="D227" s="17" t="s">
        <v>230</v>
      </c>
      <c r="E227" s="17" t="s">
        <v>83</v>
      </c>
      <c r="F227" s="17" t="s">
        <v>84</v>
      </c>
      <c r="G227" s="17" t="s">
        <v>22</v>
      </c>
      <c r="H227" s="17">
        <v>5</v>
      </c>
      <c r="I227" s="19">
        <v>699.99</v>
      </c>
      <c r="J227" s="17" t="s">
        <v>60</v>
      </c>
      <c r="K227" s="17" t="s">
        <v>66</v>
      </c>
      <c r="L227" s="17" t="s">
        <v>30</v>
      </c>
      <c r="M227" s="18">
        <v>45161</v>
      </c>
      <c r="N227" s="19">
        <v>3499.95</v>
      </c>
      <c r="O227" s="20">
        <f t="shared" si="6"/>
        <v>45717</v>
      </c>
      <c r="P227" s="21">
        <f t="shared" si="7"/>
        <v>1</v>
      </c>
      <c r="Q227" s="22">
        <f>IF(AND(OR(Analysis!$C$5="All",K227=Analysis!$C$5),OR(Analysis!$C$6="All",G227=Analysis!$C$6)),MAX(Q$1:Q226)+1,"")</f>
        <v>226</v>
      </c>
    </row>
    <row r="228" spans="1:17" ht="15.75" customHeight="1" x14ac:dyDescent="0.35">
      <c r="A228" s="17" t="s">
        <v>376</v>
      </c>
      <c r="B228" s="18">
        <v>45721</v>
      </c>
      <c r="C228" s="17" t="s">
        <v>78</v>
      </c>
      <c r="D228" s="17" t="s">
        <v>79</v>
      </c>
      <c r="E228" s="17" t="s">
        <v>34</v>
      </c>
      <c r="F228" s="17" t="s">
        <v>35</v>
      </c>
      <c r="G228" s="17" t="s">
        <v>36</v>
      </c>
      <c r="H228" s="17">
        <v>5</v>
      </c>
      <c r="I228" s="19">
        <v>59.99</v>
      </c>
      <c r="J228" s="17" t="s">
        <v>23</v>
      </c>
      <c r="K228" s="17" t="s">
        <v>53</v>
      </c>
      <c r="L228" s="17" t="s">
        <v>30</v>
      </c>
      <c r="M228" s="18">
        <v>45291</v>
      </c>
      <c r="N228" s="19">
        <v>299.95</v>
      </c>
      <c r="O228" s="20">
        <f t="shared" si="6"/>
        <v>45717</v>
      </c>
      <c r="P228" s="21">
        <f t="shared" si="7"/>
        <v>1</v>
      </c>
      <c r="Q228" s="22">
        <f>IF(AND(OR(Analysis!$C$5="All",K228=Analysis!$C$5),OR(Analysis!$C$6="All",G228=Analysis!$C$6)),MAX(Q$1:Q227)+1,"")</f>
        <v>227</v>
      </c>
    </row>
    <row r="229" spans="1:17" ht="15.75" customHeight="1" x14ac:dyDescent="0.35">
      <c r="A229" s="17" t="s">
        <v>377</v>
      </c>
      <c r="B229" s="18">
        <v>45723</v>
      </c>
      <c r="C229" s="17" t="s">
        <v>18</v>
      </c>
      <c r="D229" s="17" t="s">
        <v>19</v>
      </c>
      <c r="E229" s="17" t="s">
        <v>120</v>
      </c>
      <c r="F229" s="17" t="s">
        <v>121</v>
      </c>
      <c r="G229" s="17" t="s">
        <v>22</v>
      </c>
      <c r="H229" s="17">
        <v>2</v>
      </c>
      <c r="I229" s="19">
        <v>89.99</v>
      </c>
      <c r="J229" s="17" t="s">
        <v>29</v>
      </c>
      <c r="K229" s="17" t="s">
        <v>53</v>
      </c>
      <c r="L229" s="17" t="s">
        <v>30</v>
      </c>
      <c r="M229" s="18">
        <v>45295</v>
      </c>
      <c r="N229" s="19">
        <v>179.98</v>
      </c>
      <c r="O229" s="20">
        <f t="shared" si="6"/>
        <v>45717</v>
      </c>
      <c r="P229" s="21">
        <f t="shared" si="7"/>
        <v>1</v>
      </c>
      <c r="Q229" s="22">
        <f>IF(AND(OR(Analysis!$C$5="All",K229=Analysis!$C$5),OR(Analysis!$C$6="All",G229=Analysis!$C$6)),MAX(Q$1:Q228)+1,"")</f>
        <v>228</v>
      </c>
    </row>
    <row r="230" spans="1:17" ht="15.75" customHeight="1" x14ac:dyDescent="0.35">
      <c r="A230" s="17" t="s">
        <v>378</v>
      </c>
      <c r="B230" s="18">
        <v>45723</v>
      </c>
      <c r="C230" s="17" t="s">
        <v>123</v>
      </c>
      <c r="D230" s="17" t="s">
        <v>124</v>
      </c>
      <c r="E230" s="17" t="s">
        <v>20</v>
      </c>
      <c r="F230" s="17" t="s">
        <v>21</v>
      </c>
      <c r="G230" s="17" t="s">
        <v>22</v>
      </c>
      <c r="H230" s="17">
        <v>5</v>
      </c>
      <c r="I230" s="19">
        <v>249.99</v>
      </c>
      <c r="J230" s="17" t="s">
        <v>23</v>
      </c>
      <c r="K230" s="17" t="s">
        <v>66</v>
      </c>
      <c r="L230" s="17" t="s">
        <v>39</v>
      </c>
      <c r="M230" s="18">
        <v>44540</v>
      </c>
      <c r="N230" s="19">
        <v>1249.95</v>
      </c>
      <c r="O230" s="20">
        <f t="shared" si="6"/>
        <v>45717</v>
      </c>
      <c r="P230" s="21">
        <f t="shared" si="7"/>
        <v>3</v>
      </c>
      <c r="Q230" s="22">
        <f>IF(AND(OR(Analysis!$C$5="All",K230=Analysis!$C$5),OR(Analysis!$C$6="All",G230=Analysis!$C$6)),MAX(Q$1:Q229)+1,"")</f>
        <v>229</v>
      </c>
    </row>
    <row r="231" spans="1:17" ht="15.75" customHeight="1" x14ac:dyDescent="0.35">
      <c r="A231" s="17" t="s">
        <v>379</v>
      </c>
      <c r="B231" s="18">
        <v>45724</v>
      </c>
      <c r="C231" s="17" t="s">
        <v>229</v>
      </c>
      <c r="D231" s="17" t="s">
        <v>230</v>
      </c>
      <c r="E231" s="17" t="s">
        <v>47</v>
      </c>
      <c r="F231" s="17" t="s">
        <v>48</v>
      </c>
      <c r="G231" s="17" t="s">
        <v>49</v>
      </c>
      <c r="H231" s="17">
        <v>2</v>
      </c>
      <c r="I231" s="19">
        <v>149.99</v>
      </c>
      <c r="J231" s="17" t="s">
        <v>37</v>
      </c>
      <c r="K231" s="17" t="s">
        <v>24</v>
      </c>
      <c r="L231" s="17" t="s">
        <v>30</v>
      </c>
      <c r="M231" s="18">
        <v>44632</v>
      </c>
      <c r="N231" s="19">
        <v>299.98</v>
      </c>
      <c r="O231" s="20">
        <f t="shared" si="6"/>
        <v>45717</v>
      </c>
      <c r="P231" s="21">
        <f t="shared" si="7"/>
        <v>2</v>
      </c>
      <c r="Q231" s="22">
        <f>IF(AND(OR(Analysis!$C$5="All",K231=Analysis!$C$5),OR(Analysis!$C$6="All",G231=Analysis!$C$6)),MAX(Q$1:Q230)+1,"")</f>
        <v>230</v>
      </c>
    </row>
    <row r="232" spans="1:17" ht="15.75" customHeight="1" x14ac:dyDescent="0.35">
      <c r="A232" s="17" t="s">
        <v>380</v>
      </c>
      <c r="B232" s="18">
        <v>45724</v>
      </c>
      <c r="C232" s="17" t="s">
        <v>147</v>
      </c>
      <c r="D232" s="17" t="s">
        <v>148</v>
      </c>
      <c r="E232" s="17" t="s">
        <v>64</v>
      </c>
      <c r="F232" s="17" t="s">
        <v>65</v>
      </c>
      <c r="G232" s="17" t="s">
        <v>22</v>
      </c>
      <c r="H232" s="17">
        <v>5</v>
      </c>
      <c r="I232" s="19">
        <v>899.99</v>
      </c>
      <c r="J232" s="17" t="s">
        <v>37</v>
      </c>
      <c r="K232" s="17" t="s">
        <v>66</v>
      </c>
      <c r="L232" s="17" t="s">
        <v>30</v>
      </c>
      <c r="M232" s="18">
        <v>45389</v>
      </c>
      <c r="N232" s="19">
        <v>4499.95</v>
      </c>
      <c r="O232" s="20">
        <f t="shared" si="6"/>
        <v>45717</v>
      </c>
      <c r="P232" s="21">
        <f t="shared" si="7"/>
        <v>0</v>
      </c>
      <c r="Q232" s="22">
        <f>IF(AND(OR(Analysis!$C$5="All",K232=Analysis!$C$5),OR(Analysis!$C$6="All",G232=Analysis!$C$6)),MAX(Q$1:Q231)+1,"")</f>
        <v>231</v>
      </c>
    </row>
    <row r="233" spans="1:17" ht="15.75" customHeight="1" x14ac:dyDescent="0.35">
      <c r="A233" s="17" t="s">
        <v>381</v>
      </c>
      <c r="B233" s="18">
        <v>45724</v>
      </c>
      <c r="C233" s="17" t="s">
        <v>58</v>
      </c>
      <c r="D233" s="17" t="s">
        <v>59</v>
      </c>
      <c r="E233" s="17" t="s">
        <v>47</v>
      </c>
      <c r="F233" s="17" t="s">
        <v>48</v>
      </c>
      <c r="G233" s="17" t="s">
        <v>49</v>
      </c>
      <c r="H233" s="17">
        <v>4</v>
      </c>
      <c r="I233" s="19">
        <v>149.99</v>
      </c>
      <c r="J233" s="17" t="s">
        <v>23</v>
      </c>
      <c r="K233" s="17" t="s">
        <v>24</v>
      </c>
      <c r="L233" s="17" t="s">
        <v>39</v>
      </c>
      <c r="M233" s="18">
        <v>45263</v>
      </c>
      <c r="N233" s="19">
        <v>599.96</v>
      </c>
      <c r="O233" s="20">
        <f t="shared" si="6"/>
        <v>45717</v>
      </c>
      <c r="P233" s="21">
        <f t="shared" si="7"/>
        <v>1</v>
      </c>
      <c r="Q233" s="22">
        <f>IF(AND(OR(Analysis!$C$5="All",K233=Analysis!$C$5),OR(Analysis!$C$6="All",G233=Analysis!$C$6)),MAX(Q$1:Q232)+1,"")</f>
        <v>232</v>
      </c>
    </row>
    <row r="234" spans="1:17" ht="15.75" customHeight="1" x14ac:dyDescent="0.35">
      <c r="A234" s="17" t="s">
        <v>382</v>
      </c>
      <c r="B234" s="18">
        <v>45726</v>
      </c>
      <c r="C234" s="17" t="s">
        <v>147</v>
      </c>
      <c r="D234" s="17" t="s">
        <v>148</v>
      </c>
      <c r="E234" s="17" t="s">
        <v>20</v>
      </c>
      <c r="F234" s="17" t="s">
        <v>21</v>
      </c>
      <c r="G234" s="17" t="s">
        <v>22</v>
      </c>
      <c r="H234" s="17">
        <v>1</v>
      </c>
      <c r="I234" s="19">
        <v>249.99</v>
      </c>
      <c r="J234" s="17" t="s">
        <v>23</v>
      </c>
      <c r="K234" s="17" t="s">
        <v>43</v>
      </c>
      <c r="L234" s="17" t="s">
        <v>39</v>
      </c>
      <c r="M234" s="18">
        <v>45117</v>
      </c>
      <c r="N234" s="19">
        <v>249.99</v>
      </c>
      <c r="O234" s="20">
        <f t="shared" si="6"/>
        <v>45717</v>
      </c>
      <c r="P234" s="21">
        <f t="shared" si="7"/>
        <v>1</v>
      </c>
      <c r="Q234" s="22">
        <f>IF(AND(OR(Analysis!$C$5="All",K234=Analysis!$C$5),OR(Analysis!$C$6="All",G234=Analysis!$C$6)),MAX(Q$1:Q233)+1,"")</f>
        <v>233</v>
      </c>
    </row>
    <row r="235" spans="1:17" ht="15.75" customHeight="1" x14ac:dyDescent="0.35">
      <c r="A235" s="17" t="s">
        <v>383</v>
      </c>
      <c r="B235" s="18">
        <v>45734</v>
      </c>
      <c r="C235" s="17" t="s">
        <v>195</v>
      </c>
      <c r="D235" s="17" t="s">
        <v>196</v>
      </c>
      <c r="E235" s="17" t="s">
        <v>34</v>
      </c>
      <c r="F235" s="17" t="s">
        <v>35</v>
      </c>
      <c r="G235" s="17" t="s">
        <v>36</v>
      </c>
      <c r="H235" s="17">
        <v>2</v>
      </c>
      <c r="I235" s="19">
        <v>59.99</v>
      </c>
      <c r="J235" s="17" t="s">
        <v>29</v>
      </c>
      <c r="K235" s="17" t="s">
        <v>53</v>
      </c>
      <c r="L235" s="17" t="s">
        <v>25</v>
      </c>
      <c r="M235" s="18">
        <v>45193</v>
      </c>
      <c r="N235" s="19">
        <v>119.98</v>
      </c>
      <c r="O235" s="20">
        <f t="shared" si="6"/>
        <v>45717</v>
      </c>
      <c r="P235" s="21">
        <f t="shared" si="7"/>
        <v>1</v>
      </c>
      <c r="Q235" s="22">
        <f>IF(AND(OR(Analysis!$C$5="All",K235=Analysis!$C$5),OR(Analysis!$C$6="All",G235=Analysis!$C$6)),MAX(Q$1:Q234)+1,"")</f>
        <v>234</v>
      </c>
    </row>
    <row r="236" spans="1:17" ht="15.75" customHeight="1" x14ac:dyDescent="0.35">
      <c r="A236" s="17" t="s">
        <v>384</v>
      </c>
      <c r="B236" s="18">
        <v>45737</v>
      </c>
      <c r="C236" s="17" t="s">
        <v>135</v>
      </c>
      <c r="D236" s="17" t="s">
        <v>136</v>
      </c>
      <c r="E236" s="17" t="s">
        <v>47</v>
      </c>
      <c r="F236" s="17" t="s">
        <v>48</v>
      </c>
      <c r="G236" s="17" t="s">
        <v>49</v>
      </c>
      <c r="H236" s="17">
        <v>2</v>
      </c>
      <c r="I236" s="19">
        <v>149.99</v>
      </c>
      <c r="J236" s="17" t="s">
        <v>23</v>
      </c>
      <c r="K236" s="17" t="s">
        <v>53</v>
      </c>
      <c r="L236" s="17" t="s">
        <v>30</v>
      </c>
      <c r="M236" s="18">
        <v>45233</v>
      </c>
      <c r="N236" s="19">
        <v>299.98</v>
      </c>
      <c r="O236" s="20">
        <f t="shared" si="6"/>
        <v>45717</v>
      </c>
      <c r="P236" s="21">
        <f t="shared" si="7"/>
        <v>1</v>
      </c>
      <c r="Q236" s="22">
        <f>IF(AND(OR(Analysis!$C$5="All",K236=Analysis!$C$5),OR(Analysis!$C$6="All",G236=Analysis!$C$6)),MAX(Q$1:Q235)+1,"")</f>
        <v>235</v>
      </c>
    </row>
    <row r="237" spans="1:17" ht="15.75" customHeight="1" x14ac:dyDescent="0.35">
      <c r="A237" s="17" t="s">
        <v>385</v>
      </c>
      <c r="B237" s="18">
        <v>45737</v>
      </c>
      <c r="C237" s="17" t="s">
        <v>153</v>
      </c>
      <c r="D237" s="17" t="s">
        <v>154</v>
      </c>
      <c r="E237" s="17" t="s">
        <v>64</v>
      </c>
      <c r="F237" s="17" t="s">
        <v>65</v>
      </c>
      <c r="G237" s="17" t="s">
        <v>22</v>
      </c>
      <c r="H237" s="17">
        <v>3</v>
      </c>
      <c r="I237" s="19">
        <v>899.99</v>
      </c>
      <c r="J237" s="17" t="s">
        <v>60</v>
      </c>
      <c r="K237" s="17" t="s">
        <v>43</v>
      </c>
      <c r="L237" s="17" t="s">
        <v>30</v>
      </c>
      <c r="M237" s="18">
        <v>44876</v>
      </c>
      <c r="N237" s="19">
        <v>2699.97</v>
      </c>
      <c r="O237" s="20">
        <f t="shared" si="6"/>
        <v>45717</v>
      </c>
      <c r="P237" s="21">
        <f t="shared" si="7"/>
        <v>2</v>
      </c>
      <c r="Q237" s="22">
        <f>IF(AND(OR(Analysis!$C$5="All",K237=Analysis!$C$5),OR(Analysis!$C$6="All",G237=Analysis!$C$6)),MAX(Q$1:Q236)+1,"")</f>
        <v>236</v>
      </c>
    </row>
    <row r="238" spans="1:17" ht="15.75" customHeight="1" x14ac:dyDescent="0.35">
      <c r="A238" s="17" t="s">
        <v>386</v>
      </c>
      <c r="B238" s="18">
        <v>45737</v>
      </c>
      <c r="C238" s="17" t="s">
        <v>51</v>
      </c>
      <c r="D238" s="17" t="s">
        <v>52</v>
      </c>
      <c r="E238" s="17" t="s">
        <v>64</v>
      </c>
      <c r="F238" s="17" t="s">
        <v>65</v>
      </c>
      <c r="G238" s="17" t="s">
        <v>22</v>
      </c>
      <c r="H238" s="17">
        <v>3</v>
      </c>
      <c r="I238" s="19">
        <v>899.99</v>
      </c>
      <c r="J238" s="17" t="s">
        <v>37</v>
      </c>
      <c r="K238" s="17" t="s">
        <v>43</v>
      </c>
      <c r="L238" s="17" t="s">
        <v>25</v>
      </c>
      <c r="M238" s="18">
        <v>44975</v>
      </c>
      <c r="N238" s="19">
        <v>2699.97</v>
      </c>
      <c r="O238" s="20">
        <f t="shared" si="6"/>
        <v>45717</v>
      </c>
      <c r="P238" s="21">
        <f t="shared" si="7"/>
        <v>2</v>
      </c>
      <c r="Q238" s="22">
        <f>IF(AND(OR(Analysis!$C$5="All",K238=Analysis!$C$5),OR(Analysis!$C$6="All",G238=Analysis!$C$6)),MAX(Q$1:Q237)+1,"")</f>
        <v>237</v>
      </c>
    </row>
    <row r="239" spans="1:17" ht="15.75" customHeight="1" x14ac:dyDescent="0.35">
      <c r="A239" s="17" t="s">
        <v>387</v>
      </c>
      <c r="B239" s="18">
        <v>45739</v>
      </c>
      <c r="C239" s="17" t="s">
        <v>18</v>
      </c>
      <c r="D239" s="17" t="s">
        <v>19</v>
      </c>
      <c r="E239" s="17" t="s">
        <v>108</v>
      </c>
      <c r="F239" s="17" t="s">
        <v>109</v>
      </c>
      <c r="G239" s="17" t="s">
        <v>49</v>
      </c>
      <c r="H239" s="17">
        <v>3</v>
      </c>
      <c r="I239" s="19">
        <v>299.99</v>
      </c>
      <c r="J239" s="17" t="s">
        <v>29</v>
      </c>
      <c r="K239" s="17" t="s">
        <v>53</v>
      </c>
      <c r="L239" s="17" t="s">
        <v>30</v>
      </c>
      <c r="M239" s="18">
        <v>45234</v>
      </c>
      <c r="N239" s="19">
        <v>899.97</v>
      </c>
      <c r="O239" s="20">
        <f t="shared" si="6"/>
        <v>45717</v>
      </c>
      <c r="P239" s="21">
        <f t="shared" si="7"/>
        <v>1</v>
      </c>
      <c r="Q239" s="22">
        <f>IF(AND(OR(Analysis!$C$5="All",K239=Analysis!$C$5),OR(Analysis!$C$6="All",G239=Analysis!$C$6)),MAX(Q$1:Q238)+1,"")</f>
        <v>238</v>
      </c>
    </row>
    <row r="240" spans="1:17" ht="15.75" customHeight="1" x14ac:dyDescent="0.35">
      <c r="A240" s="17" t="s">
        <v>388</v>
      </c>
      <c r="B240" s="18">
        <v>45740</v>
      </c>
      <c r="C240" s="17" t="s">
        <v>389</v>
      </c>
      <c r="D240" s="17" t="s">
        <v>390</v>
      </c>
      <c r="E240" s="17" t="s">
        <v>47</v>
      </c>
      <c r="F240" s="17" t="s">
        <v>48</v>
      </c>
      <c r="G240" s="17" t="s">
        <v>49</v>
      </c>
      <c r="H240" s="17">
        <v>4</v>
      </c>
      <c r="I240" s="19">
        <v>149.99</v>
      </c>
      <c r="J240" s="17" t="s">
        <v>37</v>
      </c>
      <c r="K240" s="17" t="s">
        <v>53</v>
      </c>
      <c r="L240" s="17" t="s">
        <v>39</v>
      </c>
      <c r="M240" s="18">
        <v>44560</v>
      </c>
      <c r="N240" s="19">
        <v>599.96</v>
      </c>
      <c r="O240" s="20">
        <f t="shared" si="6"/>
        <v>45717</v>
      </c>
      <c r="P240" s="21">
        <f t="shared" si="7"/>
        <v>3</v>
      </c>
      <c r="Q240" s="22">
        <f>IF(AND(OR(Analysis!$C$5="All",K240=Analysis!$C$5),OR(Analysis!$C$6="All",G240=Analysis!$C$6)),MAX(Q$1:Q239)+1,"")</f>
        <v>239</v>
      </c>
    </row>
    <row r="241" spans="1:17" ht="15.75" customHeight="1" x14ac:dyDescent="0.35">
      <c r="A241" s="17" t="s">
        <v>391</v>
      </c>
      <c r="B241" s="18">
        <v>45743</v>
      </c>
      <c r="C241" s="17" t="s">
        <v>105</v>
      </c>
      <c r="D241" s="17" t="s">
        <v>106</v>
      </c>
      <c r="E241" s="17" t="s">
        <v>117</v>
      </c>
      <c r="F241" s="17" t="s">
        <v>118</v>
      </c>
      <c r="G241" s="17" t="s">
        <v>36</v>
      </c>
      <c r="H241" s="17">
        <v>4</v>
      </c>
      <c r="I241" s="19">
        <v>79.989999999999995</v>
      </c>
      <c r="J241" s="17" t="s">
        <v>29</v>
      </c>
      <c r="K241" s="17" t="s">
        <v>24</v>
      </c>
      <c r="L241" s="17" t="s">
        <v>25</v>
      </c>
      <c r="M241" s="18">
        <v>45288</v>
      </c>
      <c r="N241" s="19">
        <v>319.95999999999998</v>
      </c>
      <c r="O241" s="20">
        <f t="shared" si="6"/>
        <v>45717</v>
      </c>
      <c r="P241" s="21">
        <f t="shared" si="7"/>
        <v>1</v>
      </c>
      <c r="Q241" s="22">
        <f>IF(AND(OR(Analysis!$C$5="All",K241=Analysis!$C$5),OR(Analysis!$C$6="All",G241=Analysis!$C$6)),MAX(Q$1:Q240)+1,"")</f>
        <v>240</v>
      </c>
    </row>
    <row r="242" spans="1:17" ht="15.75" customHeight="1" x14ac:dyDescent="0.35">
      <c r="A242" s="17" t="s">
        <v>392</v>
      </c>
      <c r="B242" s="18">
        <v>45745</v>
      </c>
      <c r="C242" s="17" t="s">
        <v>188</v>
      </c>
      <c r="D242" s="17" t="s">
        <v>189</v>
      </c>
      <c r="E242" s="17" t="s">
        <v>120</v>
      </c>
      <c r="F242" s="17" t="s">
        <v>121</v>
      </c>
      <c r="G242" s="17" t="s">
        <v>22</v>
      </c>
      <c r="H242" s="17">
        <v>5</v>
      </c>
      <c r="I242" s="19">
        <v>89.99</v>
      </c>
      <c r="J242" s="17" t="s">
        <v>37</v>
      </c>
      <c r="K242" s="17" t="s">
        <v>38</v>
      </c>
      <c r="L242" s="17" t="s">
        <v>25</v>
      </c>
      <c r="M242" s="18">
        <v>44704</v>
      </c>
      <c r="N242" s="19">
        <v>449.95</v>
      </c>
      <c r="O242" s="20">
        <f t="shared" si="6"/>
        <v>45717</v>
      </c>
      <c r="P242" s="21">
        <f t="shared" si="7"/>
        <v>2</v>
      </c>
      <c r="Q242" s="22">
        <f>IF(AND(OR(Analysis!$C$5="All",K242=Analysis!$C$5),OR(Analysis!$C$6="All",G242=Analysis!$C$6)),MAX(Q$1:Q241)+1,"")</f>
        <v>241</v>
      </c>
    </row>
    <row r="243" spans="1:17" ht="15.75" customHeight="1" x14ac:dyDescent="0.35">
      <c r="A243" s="17" t="s">
        <v>393</v>
      </c>
      <c r="B243" s="18">
        <v>45746</v>
      </c>
      <c r="C243" s="17" t="s">
        <v>96</v>
      </c>
      <c r="D243" s="17" t="s">
        <v>97</v>
      </c>
      <c r="E243" s="17" t="s">
        <v>47</v>
      </c>
      <c r="F243" s="17" t="s">
        <v>48</v>
      </c>
      <c r="G243" s="17" t="s">
        <v>49</v>
      </c>
      <c r="H243" s="17">
        <v>3</v>
      </c>
      <c r="I243" s="19">
        <v>149.99</v>
      </c>
      <c r="J243" s="17" t="s">
        <v>37</v>
      </c>
      <c r="K243" s="17" t="s">
        <v>24</v>
      </c>
      <c r="L243" s="17" t="s">
        <v>39</v>
      </c>
      <c r="M243" s="18">
        <v>45171</v>
      </c>
      <c r="N243" s="19">
        <v>449.97</v>
      </c>
      <c r="O243" s="20">
        <f t="shared" si="6"/>
        <v>45717</v>
      </c>
      <c r="P243" s="21">
        <f t="shared" si="7"/>
        <v>1</v>
      </c>
      <c r="Q243" s="22">
        <f>IF(AND(OR(Analysis!$C$5="All",K243=Analysis!$C$5),OR(Analysis!$C$6="All",G243=Analysis!$C$6)),MAX(Q$1:Q242)+1,"")</f>
        <v>242</v>
      </c>
    </row>
    <row r="244" spans="1:17" ht="15.75" customHeight="1" x14ac:dyDescent="0.35">
      <c r="A244" s="17" t="s">
        <v>394</v>
      </c>
      <c r="B244" s="18">
        <v>45746</v>
      </c>
      <c r="C244" s="17" t="s">
        <v>68</v>
      </c>
      <c r="D244" s="17" t="s">
        <v>69</v>
      </c>
      <c r="E244" s="17" t="s">
        <v>120</v>
      </c>
      <c r="F244" s="17" t="s">
        <v>121</v>
      </c>
      <c r="G244" s="17" t="s">
        <v>22</v>
      </c>
      <c r="H244" s="17">
        <v>2</v>
      </c>
      <c r="I244" s="19">
        <v>89.99</v>
      </c>
      <c r="J244" s="17" t="s">
        <v>60</v>
      </c>
      <c r="K244" s="17" t="s">
        <v>53</v>
      </c>
      <c r="L244" s="17" t="s">
        <v>30</v>
      </c>
      <c r="M244" s="18">
        <v>44522</v>
      </c>
      <c r="N244" s="19">
        <v>179.98</v>
      </c>
      <c r="O244" s="20">
        <f t="shared" si="6"/>
        <v>45717</v>
      </c>
      <c r="P244" s="21">
        <f t="shared" si="7"/>
        <v>3</v>
      </c>
      <c r="Q244" s="22">
        <f>IF(AND(OR(Analysis!$C$5="All",K244=Analysis!$C$5),OR(Analysis!$C$6="All",G244=Analysis!$C$6)),MAX(Q$1:Q243)+1,"")</f>
        <v>243</v>
      </c>
    </row>
    <row r="245" spans="1:17" ht="15.75" customHeight="1" x14ac:dyDescent="0.35">
      <c r="A245" s="17" t="s">
        <v>395</v>
      </c>
      <c r="B245" s="18">
        <v>45748</v>
      </c>
      <c r="C245" s="17" t="s">
        <v>105</v>
      </c>
      <c r="D245" s="17" t="s">
        <v>106</v>
      </c>
      <c r="E245" s="17" t="s">
        <v>83</v>
      </c>
      <c r="F245" s="17" t="s">
        <v>84</v>
      </c>
      <c r="G245" s="17" t="s">
        <v>22</v>
      </c>
      <c r="H245" s="17">
        <v>2</v>
      </c>
      <c r="I245" s="19">
        <v>699.99</v>
      </c>
      <c r="J245" s="17" t="s">
        <v>37</v>
      </c>
      <c r="K245" s="17" t="s">
        <v>43</v>
      </c>
      <c r="L245" s="17" t="s">
        <v>39</v>
      </c>
      <c r="M245" s="18">
        <v>44618</v>
      </c>
      <c r="N245" s="19">
        <v>1399.98</v>
      </c>
      <c r="O245" s="20">
        <f t="shared" si="6"/>
        <v>45748</v>
      </c>
      <c r="P245" s="21">
        <f t="shared" si="7"/>
        <v>3</v>
      </c>
      <c r="Q245" s="22">
        <f>IF(AND(OR(Analysis!$C$5="All",K245=Analysis!$C$5),OR(Analysis!$C$6="All",G245=Analysis!$C$6)),MAX(Q$1:Q244)+1,"")</f>
        <v>244</v>
      </c>
    </row>
    <row r="246" spans="1:17" ht="15.75" customHeight="1" x14ac:dyDescent="0.35">
      <c r="A246" s="17" t="s">
        <v>396</v>
      </c>
      <c r="B246" s="18">
        <v>45749</v>
      </c>
      <c r="C246" s="17" t="s">
        <v>126</v>
      </c>
      <c r="D246" s="17" t="s">
        <v>127</v>
      </c>
      <c r="E246" s="17" t="s">
        <v>64</v>
      </c>
      <c r="F246" s="17" t="s">
        <v>65</v>
      </c>
      <c r="G246" s="17" t="s">
        <v>22</v>
      </c>
      <c r="H246" s="17">
        <v>3</v>
      </c>
      <c r="I246" s="19">
        <v>899.99</v>
      </c>
      <c r="J246" s="17" t="s">
        <v>23</v>
      </c>
      <c r="K246" s="17" t="s">
        <v>24</v>
      </c>
      <c r="L246" s="17" t="s">
        <v>39</v>
      </c>
      <c r="M246" s="18">
        <v>44953</v>
      </c>
      <c r="N246" s="19">
        <v>2699.97</v>
      </c>
      <c r="O246" s="20">
        <f t="shared" si="6"/>
        <v>45748</v>
      </c>
      <c r="P246" s="21">
        <f t="shared" si="7"/>
        <v>2</v>
      </c>
      <c r="Q246" s="22">
        <f>IF(AND(OR(Analysis!$C$5="All",K246=Analysis!$C$5),OR(Analysis!$C$6="All",G246=Analysis!$C$6)),MAX(Q$1:Q245)+1,"")</f>
        <v>245</v>
      </c>
    </row>
    <row r="247" spans="1:17" ht="15.75" customHeight="1" x14ac:dyDescent="0.35">
      <c r="A247" s="17" t="s">
        <v>397</v>
      </c>
      <c r="B247" s="18">
        <v>45755</v>
      </c>
      <c r="C247" s="17" t="s">
        <v>96</v>
      </c>
      <c r="D247" s="17" t="s">
        <v>97</v>
      </c>
      <c r="E247" s="17" t="s">
        <v>117</v>
      </c>
      <c r="F247" s="17" t="s">
        <v>118</v>
      </c>
      <c r="G247" s="17" t="s">
        <v>36</v>
      </c>
      <c r="H247" s="17">
        <v>3</v>
      </c>
      <c r="I247" s="19">
        <v>79.989999999999995</v>
      </c>
      <c r="J247" s="17" t="s">
        <v>29</v>
      </c>
      <c r="K247" s="17" t="s">
        <v>43</v>
      </c>
      <c r="L247" s="17" t="s">
        <v>25</v>
      </c>
      <c r="M247" s="18">
        <v>44511</v>
      </c>
      <c r="N247" s="19">
        <v>239.97</v>
      </c>
      <c r="O247" s="20">
        <f t="shared" si="6"/>
        <v>45748</v>
      </c>
      <c r="P247" s="21">
        <f t="shared" si="7"/>
        <v>3</v>
      </c>
      <c r="Q247" s="22">
        <f>IF(AND(OR(Analysis!$C$5="All",K247=Analysis!$C$5),OR(Analysis!$C$6="All",G247=Analysis!$C$6)),MAX(Q$1:Q246)+1,"")</f>
        <v>246</v>
      </c>
    </row>
    <row r="248" spans="1:17" ht="15.75" customHeight="1" x14ac:dyDescent="0.35">
      <c r="A248" s="17" t="s">
        <v>398</v>
      </c>
      <c r="B248" s="18">
        <v>45756</v>
      </c>
      <c r="C248" s="17" t="s">
        <v>62</v>
      </c>
      <c r="D248" s="17" t="s">
        <v>63</v>
      </c>
      <c r="E248" s="17" t="s">
        <v>120</v>
      </c>
      <c r="F248" s="17" t="s">
        <v>121</v>
      </c>
      <c r="G248" s="17" t="s">
        <v>22</v>
      </c>
      <c r="H248" s="17">
        <v>1</v>
      </c>
      <c r="I248" s="19">
        <v>89.99</v>
      </c>
      <c r="J248" s="17" t="s">
        <v>60</v>
      </c>
      <c r="K248" s="17" t="s">
        <v>66</v>
      </c>
      <c r="L248" s="17" t="s">
        <v>25</v>
      </c>
      <c r="M248" s="18">
        <v>45346</v>
      </c>
      <c r="N248" s="19">
        <v>89.99</v>
      </c>
      <c r="O248" s="20">
        <f t="shared" si="6"/>
        <v>45748</v>
      </c>
      <c r="P248" s="21">
        <f t="shared" si="7"/>
        <v>1</v>
      </c>
      <c r="Q248" s="22">
        <f>IF(AND(OR(Analysis!$C$5="All",K248=Analysis!$C$5),OR(Analysis!$C$6="All",G248=Analysis!$C$6)),MAX(Q$1:Q247)+1,"")</f>
        <v>247</v>
      </c>
    </row>
    <row r="249" spans="1:17" ht="15.75" customHeight="1" x14ac:dyDescent="0.35">
      <c r="A249" s="17" t="s">
        <v>399</v>
      </c>
      <c r="B249" s="18">
        <v>45758</v>
      </c>
      <c r="C249" s="17" t="s">
        <v>296</v>
      </c>
      <c r="D249" s="17" t="s">
        <v>297</v>
      </c>
      <c r="E249" s="17" t="s">
        <v>83</v>
      </c>
      <c r="F249" s="17" t="s">
        <v>84</v>
      </c>
      <c r="G249" s="17" t="s">
        <v>22</v>
      </c>
      <c r="H249" s="17">
        <v>3</v>
      </c>
      <c r="I249" s="19">
        <v>699.99</v>
      </c>
      <c r="J249" s="17" t="s">
        <v>37</v>
      </c>
      <c r="K249" s="17" t="s">
        <v>43</v>
      </c>
      <c r="L249" s="17" t="s">
        <v>25</v>
      </c>
      <c r="M249" s="18">
        <v>44909</v>
      </c>
      <c r="N249" s="19">
        <v>2099.9699999999998</v>
      </c>
      <c r="O249" s="20">
        <f t="shared" si="6"/>
        <v>45748</v>
      </c>
      <c r="P249" s="21">
        <f t="shared" si="7"/>
        <v>2</v>
      </c>
      <c r="Q249" s="22">
        <f>IF(AND(OR(Analysis!$C$5="All",K249=Analysis!$C$5),OR(Analysis!$C$6="All",G249=Analysis!$C$6)),MAX(Q$1:Q248)+1,"")</f>
        <v>248</v>
      </c>
    </row>
    <row r="250" spans="1:17" ht="15.75" customHeight="1" x14ac:dyDescent="0.35">
      <c r="A250" s="17" t="s">
        <v>400</v>
      </c>
      <c r="B250" s="18">
        <v>45758</v>
      </c>
      <c r="C250" s="17" t="s">
        <v>229</v>
      </c>
      <c r="D250" s="17" t="s">
        <v>230</v>
      </c>
      <c r="E250" s="17" t="s">
        <v>120</v>
      </c>
      <c r="F250" s="17" t="s">
        <v>121</v>
      </c>
      <c r="G250" s="17" t="s">
        <v>22</v>
      </c>
      <c r="H250" s="17">
        <v>2</v>
      </c>
      <c r="I250" s="19">
        <v>89.99</v>
      </c>
      <c r="J250" s="17" t="s">
        <v>60</v>
      </c>
      <c r="K250" s="17" t="s">
        <v>66</v>
      </c>
      <c r="L250" s="17" t="s">
        <v>25</v>
      </c>
      <c r="M250" s="18">
        <v>45088</v>
      </c>
      <c r="N250" s="19">
        <v>179.98</v>
      </c>
      <c r="O250" s="20">
        <f t="shared" si="6"/>
        <v>45748</v>
      </c>
      <c r="P250" s="21">
        <f t="shared" si="7"/>
        <v>1</v>
      </c>
      <c r="Q250" s="22">
        <f>IF(AND(OR(Analysis!$C$5="All",K250=Analysis!$C$5),OR(Analysis!$C$6="All",G250=Analysis!$C$6)),MAX(Q$1:Q249)+1,"")</f>
        <v>249</v>
      </c>
    </row>
    <row r="251" spans="1:17" ht="15.75" customHeight="1" x14ac:dyDescent="0.35">
      <c r="A251" s="17" t="s">
        <v>401</v>
      </c>
      <c r="B251" s="18">
        <v>45758</v>
      </c>
      <c r="C251" s="17" t="s">
        <v>141</v>
      </c>
      <c r="D251" s="17" t="s">
        <v>142</v>
      </c>
      <c r="E251" s="17" t="s">
        <v>120</v>
      </c>
      <c r="F251" s="17" t="s">
        <v>121</v>
      </c>
      <c r="G251" s="17" t="s">
        <v>22</v>
      </c>
      <c r="H251" s="17">
        <v>3</v>
      </c>
      <c r="I251" s="19">
        <v>89.99</v>
      </c>
      <c r="J251" s="17" t="s">
        <v>60</v>
      </c>
      <c r="K251" s="17" t="s">
        <v>43</v>
      </c>
      <c r="L251" s="17" t="s">
        <v>30</v>
      </c>
      <c r="M251" s="18">
        <v>44878</v>
      </c>
      <c r="N251" s="19">
        <v>269.97000000000003</v>
      </c>
      <c r="O251" s="20">
        <f t="shared" si="6"/>
        <v>45748</v>
      </c>
      <c r="P251" s="21">
        <f t="shared" si="7"/>
        <v>2</v>
      </c>
      <c r="Q251" s="22">
        <f>IF(AND(OR(Analysis!$C$5="All",K251=Analysis!$C$5),OR(Analysis!$C$6="All",G251=Analysis!$C$6)),MAX(Q$1:Q250)+1,"")</f>
        <v>250</v>
      </c>
    </row>
    <row r="252" spans="1:17" ht="15.75" customHeight="1" x14ac:dyDescent="0.35"/>
    <row r="253" spans="1:17" ht="15.75" customHeight="1" x14ac:dyDescent="0.35"/>
    <row r="254" spans="1:17" ht="15.75" customHeight="1" x14ac:dyDescent="0.35"/>
    <row r="255" spans="1:17" ht="15.75" customHeight="1" x14ac:dyDescent="0.35"/>
    <row r="256" spans="1:17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N251" xr:uid="{00000000-0009-0000-0000-000001000000}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N184"/>
  <sheetViews>
    <sheetView zoomScaleNormal="100" workbookViewId="0">
      <pane ySplit="3" topLeftCell="A4" activePane="bottomLeft" state="frozen"/>
      <selection pane="bottomLeft" activeCell="M141" sqref="M141"/>
    </sheetView>
  </sheetViews>
  <sheetFormatPr defaultColWidth="8.6328125" defaultRowHeight="14.5" x14ac:dyDescent="0.35"/>
  <cols>
    <col min="1" max="1" width="34" customWidth="1"/>
    <col min="2" max="2" width="22" customWidth="1"/>
    <col min="3" max="3" width="16" customWidth="1"/>
    <col min="4" max="5" width="14" customWidth="1"/>
    <col min="6" max="6" width="12" customWidth="1"/>
    <col min="7" max="7" width="13" customWidth="1"/>
    <col min="8" max="8" width="12" customWidth="1"/>
    <col min="9" max="9" width="10" customWidth="1"/>
    <col min="10" max="10" width="13" customWidth="1"/>
    <col min="11" max="13" width="20" customWidth="1"/>
    <col min="14" max="14" width="12" customWidth="1"/>
  </cols>
  <sheetData>
    <row r="1" spans="1:8" ht="20" x14ac:dyDescent="0.4">
      <c r="A1" s="23" t="s">
        <v>402</v>
      </c>
    </row>
    <row r="2" spans="1:8" x14ac:dyDescent="0.35">
      <c r="A2" s="24"/>
    </row>
    <row r="4" spans="1:8" ht="15.5" x14ac:dyDescent="0.35">
      <c r="A4" s="25" t="s">
        <v>403</v>
      </c>
      <c r="B4" s="26"/>
      <c r="C4" s="26"/>
      <c r="D4" s="26"/>
      <c r="E4" s="26"/>
      <c r="F4" s="26"/>
      <c r="G4" s="26"/>
      <c r="H4" s="26"/>
    </row>
    <row r="5" spans="1:8" x14ac:dyDescent="0.35">
      <c r="A5" s="27" t="s">
        <v>404</v>
      </c>
      <c r="C5" s="28" t="s">
        <v>405</v>
      </c>
      <c r="D5" s="24"/>
    </row>
    <row r="6" spans="1:8" x14ac:dyDescent="0.35">
      <c r="A6" s="27" t="s">
        <v>406</v>
      </c>
      <c r="C6" s="28" t="s">
        <v>405</v>
      </c>
    </row>
    <row r="7" spans="1:8" x14ac:dyDescent="0.35">
      <c r="A7" s="29" t="s">
        <v>407</v>
      </c>
      <c r="C7" s="30">
        <f ca="1">TODAY()</f>
        <v>46310</v>
      </c>
      <c r="E7" s="27" t="s">
        <v>408</v>
      </c>
    </row>
    <row r="8" spans="1:8" x14ac:dyDescent="0.35">
      <c r="A8" s="29" t="s">
        <v>409</v>
      </c>
      <c r="C8" s="98">
        <f ca="1">NOW()</f>
        <v>46310.459577662034</v>
      </c>
      <c r="E8" s="24"/>
    </row>
    <row r="9" spans="1:8" x14ac:dyDescent="0.35">
      <c r="A9" s="29" t="s">
        <v>410</v>
      </c>
      <c r="C9" s="30">
        <f>MIN('Raw Data'!$B$2:$B$251)</f>
        <v>45393</v>
      </c>
      <c r="F9" s="29" t="s">
        <v>411</v>
      </c>
      <c r="G9" s="31" t="s">
        <v>412</v>
      </c>
    </row>
    <row r="10" spans="1:8" x14ac:dyDescent="0.35">
      <c r="A10" s="29" t="s">
        <v>413</v>
      </c>
      <c r="C10" s="30">
        <f>MAX('Raw Data'!$B$2:$B$251)</f>
        <v>45758</v>
      </c>
      <c r="F10" s="29" t="s">
        <v>414</v>
      </c>
      <c r="G10" s="98">
        <f ca="1">IF(G9&lt;&gt;"",IF(N(G10)=0,NOW(),G10),"")</f>
        <v>46310.186389751703</v>
      </c>
    </row>
    <row r="11" spans="1:8" x14ac:dyDescent="0.35">
      <c r="A11" s="29" t="s">
        <v>415</v>
      </c>
      <c r="C11" s="32">
        <f>DATEDIF(C9,C10,"M")</f>
        <v>12</v>
      </c>
      <c r="E11" s="24"/>
    </row>
    <row r="12" spans="1:8" x14ac:dyDescent="0.35">
      <c r="A12" s="29" t="s">
        <v>416</v>
      </c>
      <c r="C12" s="30">
        <f>EOMONTH(C10,0)</f>
        <v>45777</v>
      </c>
    </row>
    <row r="13" spans="1:8" x14ac:dyDescent="0.35">
      <c r="A13" s="29" t="s">
        <v>417</v>
      </c>
      <c r="C13" s="30">
        <f>EOMONTH(C10,1)</f>
        <v>45808</v>
      </c>
    </row>
    <row r="14" spans="1:8" x14ac:dyDescent="0.35">
      <c r="A14" s="29" t="s">
        <v>418</v>
      </c>
      <c r="C14" s="32">
        <f ca="1">DATEDIF(C10,C7,"D")</f>
        <v>552</v>
      </c>
    </row>
    <row r="16" spans="1:8" ht="15.5" x14ac:dyDescent="0.35">
      <c r="A16" s="25" t="s">
        <v>419</v>
      </c>
      <c r="B16" s="26"/>
      <c r="C16" s="26"/>
      <c r="D16" s="26"/>
      <c r="E16" s="26"/>
      <c r="F16" s="26"/>
      <c r="G16" s="26"/>
      <c r="H16" s="26"/>
    </row>
    <row r="17" spans="1:8" x14ac:dyDescent="0.35">
      <c r="A17" s="29" t="s">
        <v>420</v>
      </c>
      <c r="C17" s="33">
        <f>SUM('Raw Data'!$N$2:$N$251)</f>
        <v>229192.47000000032</v>
      </c>
    </row>
    <row r="18" spans="1:8" x14ac:dyDescent="0.35">
      <c r="A18" s="29" t="s">
        <v>421</v>
      </c>
      <c r="C18" s="34">
        <f>COUNTA('Raw Data'!$A$2:$A$251)</f>
        <v>250</v>
      </c>
    </row>
    <row r="19" spans="1:8" x14ac:dyDescent="0.35">
      <c r="A19" s="29" t="s">
        <v>422</v>
      </c>
      <c r="C19" s="35">
        <f>C17/C18</f>
        <v>916.76988000000131</v>
      </c>
    </row>
    <row r="20" spans="1:8" x14ac:dyDescent="0.35">
      <c r="A20" s="29" t="s">
        <v>423</v>
      </c>
      <c r="C20" s="34">
        <f>SUM('Raw Data'!$H$2:$H$251)</f>
        <v>753</v>
      </c>
    </row>
    <row r="21" spans="1:8" x14ac:dyDescent="0.35">
      <c r="A21" s="29" t="s">
        <v>424</v>
      </c>
      <c r="C21" s="36">
        <f>SUMPRODUCT(1/COUNTIF('Raw Data'!$C$2:$C$251,'Raw Data'!$C$2:$C$251))</f>
        <v>50.000000000000028</v>
      </c>
    </row>
    <row r="22" spans="1:8" x14ac:dyDescent="0.35">
      <c r="A22" s="29" t="s">
        <v>425</v>
      </c>
      <c r="C22" s="33">
        <f>SUMIFS('Raw Data'!$N$2:$N$251,'Raw Data'!$K$2:$K$251,IF($C$5="All","*",$C$5),'Raw Data'!$G$2:$G$251,IF($C$6="All","*",$C$6))</f>
        <v>229192.47000000032</v>
      </c>
    </row>
    <row r="23" spans="1:8" x14ac:dyDescent="0.35">
      <c r="A23" s="29" t="s">
        <v>426</v>
      </c>
      <c r="C23" s="34">
        <f>COUNTIFS('Raw Data'!$K$2:$K$251,IF($C$5="All","*",$C$5),'Raw Data'!$G$2:$G$251,IF($C$6="All","*",$C$6))</f>
        <v>250</v>
      </c>
    </row>
    <row r="26" spans="1:8" ht="15.5" x14ac:dyDescent="0.35">
      <c r="A26" s="25" t="s">
        <v>427</v>
      </c>
      <c r="B26" s="26"/>
      <c r="C26" s="26"/>
      <c r="D26" s="26"/>
      <c r="E26" s="26"/>
      <c r="F26" s="26"/>
      <c r="G26" s="26"/>
      <c r="H26" s="26"/>
    </row>
    <row r="27" spans="1:8" ht="28" x14ac:dyDescent="0.35">
      <c r="A27" s="15" t="s">
        <v>10</v>
      </c>
      <c r="B27" s="15" t="s">
        <v>428</v>
      </c>
      <c r="C27" s="15" t="s">
        <v>429</v>
      </c>
      <c r="D27" s="15" t="s">
        <v>430</v>
      </c>
      <c r="E27" s="15" t="s">
        <v>431</v>
      </c>
      <c r="F27" s="15" t="s">
        <v>432</v>
      </c>
      <c r="G27" s="15" t="s">
        <v>433</v>
      </c>
    </row>
    <row r="28" spans="1:8" x14ac:dyDescent="0.35">
      <c r="A28" s="37" t="s">
        <v>24</v>
      </c>
      <c r="B28" s="38">
        <f>SUMIFS('Raw Data'!$N$2:$N$251,'Raw Data'!$K$2:$K$251,A28)</f>
        <v>41288.340000000018</v>
      </c>
      <c r="C28" s="39">
        <f>COUNTIFS('Raw Data'!$K$2:$K$251,A28)</f>
        <v>54</v>
      </c>
      <c r="D28" s="39">
        <f>SUMIFS('Raw Data'!$H$2:$H$251,'Raw Data'!$K$2:$K$251,A28)</f>
        <v>166</v>
      </c>
      <c r="E28" s="19">
        <f>IFERROR(B28/C28,0)</f>
        <v>764.59888888888918</v>
      </c>
      <c r="F28" s="40">
        <f>B28/$C$17</f>
        <v>0.18014701791904403</v>
      </c>
      <c r="G28" s="41">
        <f>RANK(B28,$B$28:$B$32)</f>
        <v>4</v>
      </c>
    </row>
    <row r="29" spans="1:8" x14ac:dyDescent="0.35">
      <c r="A29" s="37" t="s">
        <v>66</v>
      </c>
      <c r="B29" s="38">
        <f>SUMIFS('Raw Data'!$N$2:$N$251,'Raw Data'!$K$2:$K$251,A29)</f>
        <v>59288.389999999992</v>
      </c>
      <c r="C29" s="39">
        <f>COUNTIFS('Raw Data'!$K$2:$K$251,A29)</f>
        <v>48</v>
      </c>
      <c r="D29" s="39">
        <f>SUMIFS('Raw Data'!$H$2:$H$251,'Raw Data'!$K$2:$K$251,A29)</f>
        <v>161</v>
      </c>
      <c r="E29" s="19">
        <f>IFERROR(B29/C29,0)</f>
        <v>1235.1747916666666</v>
      </c>
      <c r="F29" s="40">
        <f>B29/$C$17</f>
        <v>0.25868384768487335</v>
      </c>
      <c r="G29" s="41">
        <f>RANK(B29,$B$28:$B$32)</f>
        <v>1</v>
      </c>
    </row>
    <row r="30" spans="1:8" x14ac:dyDescent="0.35">
      <c r="A30" s="37" t="s">
        <v>43</v>
      </c>
      <c r="B30" s="38">
        <f>SUMIFS('Raw Data'!$N$2:$N$251,'Raw Data'!$K$2:$K$251,A30)</f>
        <v>50808.310000000012</v>
      </c>
      <c r="C30" s="39">
        <f>COUNTIFS('Raw Data'!$K$2:$K$251,A30)</f>
        <v>59</v>
      </c>
      <c r="D30" s="39">
        <f>SUMIFS('Raw Data'!$H$2:$H$251,'Raw Data'!$K$2:$K$251,A30)</f>
        <v>169</v>
      </c>
      <c r="E30" s="19">
        <f>IFERROR(B30/C30,0)</f>
        <v>861.15779661016973</v>
      </c>
      <c r="F30" s="40">
        <f>B30/$C$17</f>
        <v>0.22168402827544875</v>
      </c>
      <c r="G30" s="41">
        <f>RANK(B30,$B$28:$B$32)</f>
        <v>2</v>
      </c>
    </row>
    <row r="31" spans="1:8" x14ac:dyDescent="0.35">
      <c r="A31" s="37" t="s">
        <v>38</v>
      </c>
      <c r="B31" s="38">
        <f>SUMIFS('Raw Data'!$N$2:$N$251,'Raw Data'!$K$2:$K$251,A31)</f>
        <v>36398.750000000007</v>
      </c>
      <c r="C31" s="39">
        <f>COUNTIFS('Raw Data'!$K$2:$K$251,A31)</f>
        <v>42</v>
      </c>
      <c r="D31" s="39">
        <f>SUMIFS('Raw Data'!$H$2:$H$251,'Raw Data'!$K$2:$K$251,A31)</f>
        <v>125</v>
      </c>
      <c r="E31" s="19">
        <f>IFERROR(B31/C31,0)</f>
        <v>866.63690476190493</v>
      </c>
      <c r="F31" s="40">
        <f>B31/$C$17</f>
        <v>0.15881302732153441</v>
      </c>
      <c r="G31" s="41">
        <f>RANK(B31,$B$28:$B$32)</f>
        <v>5</v>
      </c>
    </row>
    <row r="32" spans="1:8" x14ac:dyDescent="0.35">
      <c r="A32" s="37" t="s">
        <v>53</v>
      </c>
      <c r="B32" s="38">
        <f>SUMIFS('Raw Data'!$N$2:$N$251,'Raw Data'!$K$2:$K$251,A32)</f>
        <v>41408.680000000015</v>
      </c>
      <c r="C32" s="39">
        <f>COUNTIFS('Raw Data'!$K$2:$K$251,A32)</f>
        <v>47</v>
      </c>
      <c r="D32" s="39">
        <f>SUMIFS('Raw Data'!$H$2:$H$251,'Raw Data'!$K$2:$K$251,A32)</f>
        <v>132</v>
      </c>
      <c r="E32" s="19">
        <f>IFERROR(B32/C32,0)</f>
        <v>881.03574468085139</v>
      </c>
      <c r="F32" s="40">
        <f>B32/$C$17</f>
        <v>0.18067207879909822</v>
      </c>
      <c r="G32" s="41">
        <f>RANK(B32,$B$28:$B$32)</f>
        <v>3</v>
      </c>
    </row>
    <row r="33" spans="1:8" x14ac:dyDescent="0.35">
      <c r="A33" s="27" t="s">
        <v>434</v>
      </c>
      <c r="B33" s="42">
        <f>SUM(B28:B32)</f>
        <v>229192.47000000006</v>
      </c>
      <c r="C33" s="43">
        <f>SUM(C28:C32)</f>
        <v>250</v>
      </c>
      <c r="D33" s="43">
        <f>SUM(D28:D32)</f>
        <v>753</v>
      </c>
      <c r="F33" s="44">
        <f>SUM(F28:F32)</f>
        <v>0.99999999999999878</v>
      </c>
    </row>
    <row r="35" spans="1:8" ht="15.5" x14ac:dyDescent="0.35">
      <c r="A35" s="25" t="s">
        <v>435</v>
      </c>
      <c r="B35" s="26"/>
      <c r="C35" s="26"/>
      <c r="D35" s="26"/>
      <c r="E35" s="26"/>
      <c r="F35" s="26"/>
      <c r="G35" s="26"/>
      <c r="H35" s="26"/>
    </row>
    <row r="36" spans="1:8" ht="28" x14ac:dyDescent="0.35">
      <c r="A36" s="15" t="s">
        <v>6</v>
      </c>
      <c r="B36" s="15" t="s">
        <v>428</v>
      </c>
      <c r="C36" s="15" t="s">
        <v>429</v>
      </c>
      <c r="D36" s="15" t="s">
        <v>430</v>
      </c>
      <c r="E36" s="15" t="s">
        <v>431</v>
      </c>
      <c r="F36" s="15" t="s">
        <v>432</v>
      </c>
      <c r="G36" s="15" t="s">
        <v>433</v>
      </c>
    </row>
    <row r="37" spans="1:8" x14ac:dyDescent="0.35">
      <c r="A37" s="37" t="s">
        <v>36</v>
      </c>
      <c r="B37" s="38">
        <f>SUMIFS('Raw Data'!$N$2:$N$251,'Raw Data'!$G$2:$G$251,A37)</f>
        <v>8338.7399999999961</v>
      </c>
      <c r="C37" s="39">
        <f>COUNTIFS('Raw Data'!$G$2:$G$251,A37)</f>
        <v>43</v>
      </c>
      <c r="D37" s="39">
        <f>SUMIFS('Raw Data'!$H$2:$H$251,'Raw Data'!$G$2:$G$251,A37)</f>
        <v>126</v>
      </c>
      <c r="E37" s="19">
        <f>IFERROR(B37/C37,0)</f>
        <v>193.92418604651155</v>
      </c>
      <c r="F37" s="40">
        <f>B37/$C$17</f>
        <v>3.6383132482493794E-2</v>
      </c>
      <c r="G37" s="41">
        <f>RANK(B37,$B$37:$B$39)</f>
        <v>3</v>
      </c>
    </row>
    <row r="38" spans="1:8" x14ac:dyDescent="0.35">
      <c r="A38" s="37" t="s">
        <v>22</v>
      </c>
      <c r="B38" s="38">
        <f>SUMIFS('Raw Data'!$N$2:$N$251,'Raw Data'!$G$2:$G$251,A38)</f>
        <v>171756.05000000013</v>
      </c>
      <c r="C38" s="39">
        <f>COUNTIFS('Raw Data'!$G$2:$G$251,A38)</f>
        <v>131</v>
      </c>
      <c r="D38" s="39">
        <f>SUMIFS('Raw Data'!$H$2:$H$251,'Raw Data'!$G$2:$G$251,A38)</f>
        <v>395</v>
      </c>
      <c r="E38" s="19">
        <f>IFERROR(B38/C38,0)</f>
        <v>1311.1148854961841</v>
      </c>
      <c r="F38" s="40">
        <f>B38/$C$17</f>
        <v>0.74939656612627759</v>
      </c>
      <c r="G38" s="41">
        <f>RANK(B38,$B$37:$B$39)</f>
        <v>1</v>
      </c>
    </row>
    <row r="39" spans="1:8" x14ac:dyDescent="0.35">
      <c r="A39" s="37" t="s">
        <v>49</v>
      </c>
      <c r="B39" s="38">
        <f>SUMIFS('Raw Data'!$N$2:$N$251,'Raw Data'!$G$2:$G$251,A39)</f>
        <v>49097.680000000015</v>
      </c>
      <c r="C39" s="39">
        <f>COUNTIFS('Raw Data'!$G$2:$G$251,A39)</f>
        <v>76</v>
      </c>
      <c r="D39" s="39">
        <f>SUMIFS('Raw Data'!$H$2:$H$251,'Raw Data'!$G$2:$G$251,A39)</f>
        <v>232</v>
      </c>
      <c r="E39" s="19">
        <f>IFERROR(B39/C39,0)</f>
        <v>646.0221052631581</v>
      </c>
      <c r="F39" s="40">
        <f>B39/$C$17</f>
        <v>0.21422030139122786</v>
      </c>
      <c r="G39" s="41">
        <f>RANK(B39,$B$37:$B$39)</f>
        <v>2</v>
      </c>
    </row>
    <row r="40" spans="1:8" x14ac:dyDescent="0.35">
      <c r="A40" s="27" t="s">
        <v>434</v>
      </c>
      <c r="B40" s="42">
        <f>SUM(B37:B39)</f>
        <v>229192.47000000015</v>
      </c>
      <c r="C40" s="43">
        <f>SUM(C37:C39)</f>
        <v>250</v>
      </c>
      <c r="D40" s="43">
        <f>SUM(D37:D39)</f>
        <v>753</v>
      </c>
      <c r="F40" s="44">
        <f>SUM(F37:F39)</f>
        <v>0.99999999999999922</v>
      </c>
    </row>
    <row r="43" spans="1:8" ht="15.5" x14ac:dyDescent="0.35">
      <c r="A43" s="25" t="s">
        <v>436</v>
      </c>
      <c r="B43" s="26"/>
      <c r="C43" s="26"/>
      <c r="D43" s="26"/>
      <c r="E43" s="26"/>
      <c r="F43" s="26"/>
      <c r="G43" s="26"/>
      <c r="H43" s="26"/>
    </row>
    <row r="44" spans="1:8" ht="28" x14ac:dyDescent="0.35">
      <c r="A44" s="15" t="s">
        <v>437</v>
      </c>
      <c r="B44" s="15" t="s">
        <v>428</v>
      </c>
      <c r="C44" s="15" t="s">
        <v>429</v>
      </c>
      <c r="D44" s="15" t="s">
        <v>430</v>
      </c>
      <c r="E44" s="15" t="s">
        <v>431</v>
      </c>
      <c r="F44" s="15" t="s">
        <v>432</v>
      </c>
      <c r="G44" s="15" t="s">
        <v>433</v>
      </c>
    </row>
    <row r="45" spans="1:8" x14ac:dyDescent="0.35">
      <c r="A45" s="37" t="s">
        <v>65</v>
      </c>
      <c r="B45" s="38">
        <f>SUMIFS('Raw Data'!$N$2:$N$251,'Raw Data'!$F$2:$F$251,A45)</f>
        <v>67499.25</v>
      </c>
      <c r="C45" s="39">
        <f>COUNTIFS('Raw Data'!$F$2:$F$251,A45)</f>
        <v>24</v>
      </c>
      <c r="D45" s="39">
        <f>SUMIFS('Raw Data'!$H$2:$H$251,'Raw Data'!$F$2:$F$251,A45)</f>
        <v>75</v>
      </c>
      <c r="E45" s="19">
        <f t="shared" ref="E45:E54" si="0">IFERROR(B45/C45,0)</f>
        <v>2812.46875</v>
      </c>
      <c r="F45" s="40">
        <f t="shared" ref="F45:F54" si="1">B45/$C$17</f>
        <v>0.29450902117333916</v>
      </c>
      <c r="G45" s="41">
        <f t="shared" ref="G45:G54" si="2">RANK(B45,$B$45:$B$54)</f>
        <v>1</v>
      </c>
    </row>
    <row r="46" spans="1:8" x14ac:dyDescent="0.35">
      <c r="A46" s="37" t="s">
        <v>84</v>
      </c>
      <c r="B46" s="38">
        <f>SUMIFS('Raw Data'!$N$2:$N$251,'Raw Data'!$F$2:$F$251,A46)</f>
        <v>67199.039999999994</v>
      </c>
      <c r="C46" s="39">
        <f>COUNTIFS('Raw Data'!$F$2:$F$251,A46)</f>
        <v>31</v>
      </c>
      <c r="D46" s="39">
        <f>SUMIFS('Raw Data'!$H$2:$H$251,'Raw Data'!$F$2:$F$251,A46)</f>
        <v>96</v>
      </c>
      <c r="E46" s="19">
        <f t="shared" si="0"/>
        <v>2167.7109677419353</v>
      </c>
      <c r="F46" s="40">
        <f t="shared" si="1"/>
        <v>0.29319916138606078</v>
      </c>
      <c r="G46" s="41">
        <f t="shared" si="2"/>
        <v>2</v>
      </c>
    </row>
    <row r="47" spans="1:8" x14ac:dyDescent="0.35">
      <c r="A47" s="37" t="s">
        <v>109</v>
      </c>
      <c r="B47" s="38">
        <f>SUMIFS('Raw Data'!$N$2:$N$251,'Raw Data'!$F$2:$F$251,A47)</f>
        <v>23399.22</v>
      </c>
      <c r="C47" s="39">
        <f>COUNTIFS('Raw Data'!$F$2:$F$251,A47)</f>
        <v>26</v>
      </c>
      <c r="D47" s="39">
        <f>SUMIFS('Raw Data'!$H$2:$H$251,'Raw Data'!$F$2:$F$251,A47)</f>
        <v>78</v>
      </c>
      <c r="E47" s="19">
        <f t="shared" si="0"/>
        <v>899.97</v>
      </c>
      <c r="F47" s="40">
        <f t="shared" si="1"/>
        <v>0.10209419183797779</v>
      </c>
      <c r="G47" s="41">
        <f t="shared" si="2"/>
        <v>3</v>
      </c>
    </row>
    <row r="48" spans="1:8" x14ac:dyDescent="0.35">
      <c r="A48" s="37" t="s">
        <v>21</v>
      </c>
      <c r="B48" s="38">
        <f>SUMIFS('Raw Data'!$N$2:$N$251,'Raw Data'!$F$2:$F$251,A48)</f>
        <v>21999.119999999999</v>
      </c>
      <c r="C48" s="39">
        <f>COUNTIFS('Raw Data'!$F$2:$F$251,A48)</f>
        <v>26</v>
      </c>
      <c r="D48" s="39">
        <f>SUMIFS('Raw Data'!$H$2:$H$251,'Raw Data'!$F$2:$F$251,A48)</f>
        <v>88</v>
      </c>
      <c r="E48" s="19">
        <f t="shared" si="0"/>
        <v>846.12</v>
      </c>
      <c r="F48" s="40">
        <f t="shared" si="1"/>
        <v>9.5985352398357454E-2</v>
      </c>
      <c r="G48" s="41">
        <f t="shared" si="2"/>
        <v>4</v>
      </c>
    </row>
    <row r="49" spans="1:8" x14ac:dyDescent="0.35">
      <c r="A49" s="37" t="s">
        <v>48</v>
      </c>
      <c r="B49" s="38">
        <f>SUMIFS('Raw Data'!$N$2:$N$251,'Raw Data'!$F$2:$F$251,A49)</f>
        <v>15298.979999999994</v>
      </c>
      <c r="C49" s="39">
        <f>COUNTIFS('Raw Data'!$F$2:$F$251,A49)</f>
        <v>35</v>
      </c>
      <c r="D49" s="39">
        <f>SUMIFS('Raw Data'!$H$2:$H$251,'Raw Data'!$F$2:$F$251,A49)</f>
        <v>102</v>
      </c>
      <c r="E49" s="19">
        <f t="shared" si="0"/>
        <v>437.11371428571414</v>
      </c>
      <c r="F49" s="40">
        <f t="shared" si="1"/>
        <v>6.6751669459297558E-2</v>
      </c>
      <c r="G49" s="41">
        <f t="shared" si="2"/>
        <v>5</v>
      </c>
    </row>
    <row r="50" spans="1:8" x14ac:dyDescent="0.35">
      <c r="A50" s="37" t="s">
        <v>130</v>
      </c>
      <c r="B50" s="38">
        <f>SUMIFS('Raw Data'!$N$2:$N$251,'Raw Data'!$F$2:$F$251,A50)</f>
        <v>10399.479999999998</v>
      </c>
      <c r="C50" s="39">
        <f>COUNTIFS('Raw Data'!$F$2:$F$251,A50)</f>
        <v>15</v>
      </c>
      <c r="D50" s="39">
        <f>SUMIFS('Raw Data'!$H$2:$H$251,'Raw Data'!$F$2:$F$251,A50)</f>
        <v>52</v>
      </c>
      <c r="E50" s="19">
        <f t="shared" si="0"/>
        <v>693.29866666666646</v>
      </c>
      <c r="F50" s="40">
        <f t="shared" si="1"/>
        <v>4.5374440093952403E-2</v>
      </c>
      <c r="G50" s="41">
        <f t="shared" si="2"/>
        <v>6</v>
      </c>
    </row>
    <row r="51" spans="1:8" x14ac:dyDescent="0.35">
      <c r="A51" s="37" t="s">
        <v>121</v>
      </c>
      <c r="B51" s="38">
        <f>SUMIFS('Raw Data'!$N$2:$N$251,'Raw Data'!$F$2:$F$251,A51)</f>
        <v>8009.1099999999969</v>
      </c>
      <c r="C51" s="39">
        <f>COUNTIFS('Raw Data'!$F$2:$F$251,A51)</f>
        <v>34</v>
      </c>
      <c r="D51" s="39">
        <f>SUMIFS('Raw Data'!$H$2:$H$251,'Raw Data'!$F$2:$F$251,A51)</f>
        <v>89</v>
      </c>
      <c r="E51" s="19">
        <f t="shared" si="0"/>
        <v>235.56205882352933</v>
      </c>
      <c r="F51" s="40">
        <f t="shared" si="1"/>
        <v>3.4944908966686318E-2</v>
      </c>
      <c r="G51" s="41">
        <f t="shared" si="2"/>
        <v>7</v>
      </c>
    </row>
    <row r="52" spans="1:8" x14ac:dyDescent="0.35">
      <c r="A52" s="37" t="s">
        <v>56</v>
      </c>
      <c r="B52" s="38">
        <f>SUMIFS('Raw Data'!$N$2:$N$251,'Raw Data'!$F$2:$F$251,A52)</f>
        <v>7049.5299999999988</v>
      </c>
      <c r="C52" s="39">
        <f>COUNTIFS('Raw Data'!$F$2:$F$251,A52)</f>
        <v>16</v>
      </c>
      <c r="D52" s="39">
        <f>SUMIFS('Raw Data'!$H$2:$H$251,'Raw Data'!$F$2:$F$251,A52)</f>
        <v>47</v>
      </c>
      <c r="E52" s="19">
        <f t="shared" si="0"/>
        <v>440.59562499999993</v>
      </c>
      <c r="F52" s="40">
        <f t="shared" si="1"/>
        <v>3.0758122201833198E-2</v>
      </c>
      <c r="G52" s="41">
        <f t="shared" si="2"/>
        <v>8</v>
      </c>
    </row>
    <row r="53" spans="1:8" x14ac:dyDescent="0.35">
      <c r="A53" s="37" t="s">
        <v>35</v>
      </c>
      <c r="B53" s="38">
        <f>SUMIFS('Raw Data'!$N$2:$N$251,'Raw Data'!$F$2:$F$251,A53)</f>
        <v>5219.1299999999974</v>
      </c>
      <c r="C53" s="39">
        <f>COUNTIFS('Raw Data'!$F$2:$F$251,A53)</f>
        <v>29</v>
      </c>
      <c r="D53" s="39">
        <f>SUMIFS('Raw Data'!$H$2:$H$251,'Raw Data'!$F$2:$F$251,A53)</f>
        <v>87</v>
      </c>
      <c r="E53" s="19">
        <f t="shared" si="0"/>
        <v>179.96999999999991</v>
      </c>
      <c r="F53" s="40">
        <f t="shared" si="1"/>
        <v>2.2771821430258986E-2</v>
      </c>
      <c r="G53" s="41">
        <f t="shared" si="2"/>
        <v>9</v>
      </c>
    </row>
    <row r="54" spans="1:8" x14ac:dyDescent="0.35">
      <c r="A54" s="37" t="s">
        <v>118</v>
      </c>
      <c r="B54" s="38">
        <f>SUMIFS('Raw Data'!$N$2:$N$251,'Raw Data'!$F$2:$F$251,A54)</f>
        <v>3119.6099999999992</v>
      </c>
      <c r="C54" s="39">
        <f>COUNTIFS('Raw Data'!$F$2:$F$251,A54)</f>
        <v>14</v>
      </c>
      <c r="D54" s="39">
        <f>SUMIFS('Raw Data'!$H$2:$H$251,'Raw Data'!$F$2:$F$251,A54)</f>
        <v>39</v>
      </c>
      <c r="E54" s="19">
        <f t="shared" si="0"/>
        <v>222.82928571428565</v>
      </c>
      <c r="F54" s="40">
        <f t="shared" si="1"/>
        <v>1.3611311052234809E-2</v>
      </c>
      <c r="G54" s="41">
        <f t="shared" si="2"/>
        <v>10</v>
      </c>
    </row>
    <row r="55" spans="1:8" x14ac:dyDescent="0.35">
      <c r="A55" s="27" t="s">
        <v>434</v>
      </c>
      <c r="B55" s="42">
        <f>SUM(B45:B54)</f>
        <v>229192.46999999994</v>
      </c>
      <c r="C55" s="43">
        <f>SUM(C45:C54)</f>
        <v>250</v>
      </c>
      <c r="D55" s="43">
        <f>SUM(D45:D54)</f>
        <v>753</v>
      </c>
      <c r="F55" s="44">
        <f>SUM(F45:F54)</f>
        <v>0.99999999999999845</v>
      </c>
    </row>
    <row r="58" spans="1:8" ht="15.5" x14ac:dyDescent="0.35">
      <c r="A58" s="25" t="s">
        <v>438</v>
      </c>
      <c r="B58" s="26"/>
      <c r="C58" s="26"/>
      <c r="D58" s="26"/>
      <c r="E58" s="26"/>
      <c r="F58" s="26"/>
      <c r="G58" s="26"/>
      <c r="H58" s="26"/>
    </row>
    <row r="59" spans="1:8" ht="28" x14ac:dyDescent="0.35">
      <c r="A59" s="15" t="s">
        <v>439</v>
      </c>
      <c r="B59" s="15" t="s">
        <v>428</v>
      </c>
      <c r="C59" s="15" t="s">
        <v>429</v>
      </c>
      <c r="D59" s="15" t="s">
        <v>430</v>
      </c>
      <c r="E59" s="15" t="s">
        <v>431</v>
      </c>
      <c r="F59" s="15" t="s">
        <v>432</v>
      </c>
      <c r="G59" s="15" t="s">
        <v>433</v>
      </c>
    </row>
    <row r="60" spans="1:8" x14ac:dyDescent="0.35">
      <c r="A60" s="37" t="s">
        <v>23</v>
      </c>
      <c r="B60" s="38">
        <f>SUMIFS('Raw Data'!$N$2:$N$251,'Raw Data'!$J$2:$J$251,A60)</f>
        <v>57427.790000000023</v>
      </c>
      <c r="C60" s="39">
        <f>COUNTIFS('Raw Data'!$J$2:$J$251,A60)</f>
        <v>76</v>
      </c>
      <c r="D60" s="39">
        <f>SUMIFS('Raw Data'!$H$2:$H$251,'Raw Data'!$J$2:$J$251,A60)</f>
        <v>221</v>
      </c>
      <c r="E60" s="19">
        <f>IFERROR(B60/C60,0)</f>
        <v>755.62881578947395</v>
      </c>
      <c r="F60" s="40">
        <f>B60/$C$17</f>
        <v>0.25056577993160045</v>
      </c>
      <c r="G60" s="41">
        <f>RANK(B60,$B$60:$B$63)</f>
        <v>3</v>
      </c>
    </row>
    <row r="61" spans="1:8" x14ac:dyDescent="0.35">
      <c r="A61" s="37" t="s">
        <v>29</v>
      </c>
      <c r="B61" s="38">
        <f>SUMIFS('Raw Data'!$N$2:$N$251,'Raw Data'!$J$2:$J$251,A61)</f>
        <v>61447.960000000014</v>
      </c>
      <c r="C61" s="39">
        <f>COUNTIFS('Raw Data'!$J$2:$J$251,A61)</f>
        <v>68</v>
      </c>
      <c r="D61" s="39">
        <f>SUMIFS('Raw Data'!$H$2:$H$251,'Raw Data'!$J$2:$J$251,A61)</f>
        <v>204</v>
      </c>
      <c r="E61" s="19">
        <f>IFERROR(B61/C61,0)</f>
        <v>903.6464705882355</v>
      </c>
      <c r="F61" s="40">
        <f>B61/$C$17</f>
        <v>0.26810636492551404</v>
      </c>
      <c r="G61" s="41">
        <f>RANK(B61,$B$60:$B$63)</f>
        <v>1</v>
      </c>
    </row>
    <row r="62" spans="1:8" x14ac:dyDescent="0.35">
      <c r="A62" s="37" t="s">
        <v>60</v>
      </c>
      <c r="B62" s="38">
        <f>SUMIFS('Raw Data'!$N$2:$N$251,'Raw Data'!$J$2:$J$251,A62)</f>
        <v>52118.310000000005</v>
      </c>
      <c r="C62" s="39">
        <f>COUNTIFS('Raw Data'!$J$2:$J$251,A62)</f>
        <v>54</v>
      </c>
      <c r="D62" s="39">
        <f>SUMIFS('Raw Data'!$H$2:$H$251,'Raw Data'!$J$2:$J$251,A62)</f>
        <v>169</v>
      </c>
      <c r="E62" s="19">
        <f>IFERROR(B62/C62,0)</f>
        <v>965.15388888888901</v>
      </c>
      <c r="F62" s="40">
        <f>B62/$C$17</f>
        <v>0.22739974834251725</v>
      </c>
      <c r="G62" s="41">
        <f>RANK(B62,$B$60:$B$63)</f>
        <v>4</v>
      </c>
    </row>
    <row r="63" spans="1:8" x14ac:dyDescent="0.35">
      <c r="A63" s="37" t="s">
        <v>37</v>
      </c>
      <c r="B63" s="38">
        <f>SUMIFS('Raw Data'!$N$2:$N$251,'Raw Data'!$J$2:$J$251,A63)</f>
        <v>58198.409999999996</v>
      </c>
      <c r="C63" s="39">
        <f>COUNTIFS('Raw Data'!$J$2:$J$251,A63)</f>
        <v>52</v>
      </c>
      <c r="D63" s="39">
        <f>SUMIFS('Raw Data'!$H$2:$H$251,'Raw Data'!$J$2:$J$251,A63)</f>
        <v>159</v>
      </c>
      <c r="E63" s="19">
        <f>IFERROR(B63/C63,0)</f>
        <v>1119.2001923076923</v>
      </c>
      <c r="F63" s="40">
        <f>B63/$C$17</f>
        <v>0.25392810680036704</v>
      </c>
      <c r="G63" s="41">
        <f>RANK(B63,$B$60:$B$63)</f>
        <v>2</v>
      </c>
    </row>
    <row r="64" spans="1:8" x14ac:dyDescent="0.35">
      <c r="A64" s="27" t="s">
        <v>434</v>
      </c>
      <c r="B64" s="42">
        <f>SUM(B60:B63)</f>
        <v>229192.47000000003</v>
      </c>
      <c r="C64" s="43">
        <f>SUM(C60:C63)</f>
        <v>250</v>
      </c>
      <c r="D64" s="43">
        <f>SUM(D60:D63)</f>
        <v>753</v>
      </c>
      <c r="F64" s="44">
        <f>SUM(F60:F63)</f>
        <v>0.99999999999999878</v>
      </c>
    </row>
    <row r="65" spans="1:8" ht="15.5" x14ac:dyDescent="0.35">
      <c r="A65" s="25" t="s">
        <v>440</v>
      </c>
      <c r="B65" s="26"/>
      <c r="C65" s="26"/>
      <c r="D65" s="26"/>
      <c r="E65" s="26"/>
      <c r="F65" s="26"/>
      <c r="G65" s="26"/>
      <c r="H65" s="26"/>
    </row>
    <row r="66" spans="1:8" ht="28" x14ac:dyDescent="0.35">
      <c r="A66" s="15" t="s">
        <v>441</v>
      </c>
      <c r="B66" s="15" t="s">
        <v>428</v>
      </c>
      <c r="C66" s="15" t="s">
        <v>429</v>
      </c>
      <c r="D66" s="15" t="s">
        <v>430</v>
      </c>
      <c r="E66" s="15" t="s">
        <v>431</v>
      </c>
      <c r="F66" s="15" t="s">
        <v>432</v>
      </c>
      <c r="G66" s="15" t="s">
        <v>433</v>
      </c>
    </row>
    <row r="67" spans="1:8" x14ac:dyDescent="0.35">
      <c r="A67" s="37" t="s">
        <v>25</v>
      </c>
      <c r="B67" s="38">
        <f>SUMIFS('Raw Data'!$N$2:$N$251,'Raw Data'!$L$2:$L$251,A67)</f>
        <v>62177.810000000019</v>
      </c>
      <c r="C67" s="39">
        <f>COUNTIFS('Raw Data'!$L$2:$L$251,A67)</f>
        <v>74</v>
      </c>
      <c r="D67" s="39">
        <f>SUMIFS('Raw Data'!$H$2:$H$251,'Raw Data'!$L$2:$L$251,A67)</f>
        <v>219</v>
      </c>
      <c r="E67" s="19">
        <f>IFERROR(B67/C67,0)</f>
        <v>840.2406756756759</v>
      </c>
      <c r="F67" s="40">
        <f>B67/$C$17</f>
        <v>0.27129080636898728</v>
      </c>
      <c r="G67" s="41">
        <f>RANK(B67,$B$67:$B$69)</f>
        <v>3</v>
      </c>
    </row>
    <row r="68" spans="1:8" x14ac:dyDescent="0.35">
      <c r="A68" s="37" t="s">
        <v>39</v>
      </c>
      <c r="B68" s="38">
        <f>SUMIFS('Raw Data'!$N$2:$N$251,'Raw Data'!$L$2:$L$251,A68)</f>
        <v>82357.540000000037</v>
      </c>
      <c r="C68" s="39">
        <f>COUNTIFS('Raw Data'!$L$2:$L$251,A68)</f>
        <v>81</v>
      </c>
      <c r="D68" s="39">
        <f>SUMIFS('Raw Data'!$H$2:$H$251,'Raw Data'!$L$2:$L$251,A68)</f>
        <v>246</v>
      </c>
      <c r="E68" s="19">
        <f>IFERROR(B68/C68,0)</f>
        <v>1016.7597530864202</v>
      </c>
      <c r="F68" s="40">
        <f>B68/$C$17</f>
        <v>0.35933789622320456</v>
      </c>
      <c r="G68" s="41">
        <f>RANK(B68,$B$67:$B$69)</f>
        <v>2</v>
      </c>
    </row>
    <row r="69" spans="1:8" x14ac:dyDescent="0.35">
      <c r="A69" s="37" t="s">
        <v>30</v>
      </c>
      <c r="B69" s="38">
        <f>SUMIFS('Raw Data'!$N$2:$N$251,'Raw Data'!$L$2:$L$251,A69)</f>
        <v>84657.12000000001</v>
      </c>
      <c r="C69" s="39">
        <f>COUNTIFS('Raw Data'!$L$2:$L$251,A69)</f>
        <v>95</v>
      </c>
      <c r="D69" s="39">
        <f>SUMIFS('Raw Data'!$H$2:$H$251,'Raw Data'!$L$2:$L$251,A69)</f>
        <v>288</v>
      </c>
      <c r="E69" s="19">
        <f>IFERROR(B69/C69,0)</f>
        <v>891.12757894736853</v>
      </c>
      <c r="F69" s="40">
        <f>B69/$C$17</f>
        <v>0.36937129740780705</v>
      </c>
      <c r="G69" s="41">
        <f>RANK(B69,$B$67:$B$69)</f>
        <v>1</v>
      </c>
    </row>
    <row r="70" spans="1:8" x14ac:dyDescent="0.35">
      <c r="A70" s="27" t="s">
        <v>434</v>
      </c>
      <c r="B70" s="42">
        <f>SUM(B67:B69)</f>
        <v>229192.47000000009</v>
      </c>
      <c r="C70" s="43">
        <f>SUM(C67:C69)</f>
        <v>250</v>
      </c>
      <c r="D70" s="43">
        <f>SUM(D67:D69)</f>
        <v>753</v>
      </c>
      <c r="F70" s="44">
        <f>SUM(F67:F69)</f>
        <v>0.99999999999999889</v>
      </c>
    </row>
    <row r="72" spans="1:8" ht="15.5" x14ac:dyDescent="0.35">
      <c r="A72" s="25" t="s">
        <v>442</v>
      </c>
      <c r="B72" s="26"/>
      <c r="C72" s="26"/>
      <c r="D72" s="26"/>
      <c r="E72" s="26"/>
      <c r="F72" s="26"/>
      <c r="G72" s="26"/>
      <c r="H72" s="26"/>
    </row>
    <row r="73" spans="1:8" ht="28" x14ac:dyDescent="0.35">
      <c r="A73" s="15" t="s">
        <v>443</v>
      </c>
      <c r="B73" s="15" t="s">
        <v>444</v>
      </c>
      <c r="C73" s="15" t="s">
        <v>428</v>
      </c>
      <c r="D73" s="15" t="s">
        <v>429</v>
      </c>
      <c r="E73" s="15" t="s">
        <v>445</v>
      </c>
      <c r="F73" s="15" t="s">
        <v>446</v>
      </c>
    </row>
    <row r="74" spans="1:8" x14ac:dyDescent="0.35">
      <c r="A74" s="45">
        <f>DATE(YEAR(C9),MONTH(C9),1)</f>
        <v>45383</v>
      </c>
      <c r="B74" s="46">
        <f t="shared" ref="B74:B86" si="3">EOMONTH(A74,0)</f>
        <v>45412</v>
      </c>
      <c r="C74" s="38">
        <f>SUMIFS('Raw Data'!$N$2:$N$251,'Raw Data'!$O$2:$O$251,A74)</f>
        <v>20919.330000000002</v>
      </c>
      <c r="D74" s="39">
        <f>COUNTIFS('Raw Data'!$O$2:$O$251,A74)</f>
        <v>21</v>
      </c>
      <c r="E74" s="47" t="str">
        <f>""</f>
        <v/>
      </c>
      <c r="F74" s="48" t="str">
        <f>""</f>
        <v/>
      </c>
    </row>
    <row r="75" spans="1:8" x14ac:dyDescent="0.35">
      <c r="A75" s="45">
        <f t="shared" ref="A75:A86" si="4">EOMONTH(A74,0)+1</f>
        <v>45413</v>
      </c>
      <c r="B75" s="46">
        <f t="shared" si="3"/>
        <v>45443</v>
      </c>
      <c r="C75" s="38">
        <f>SUMIFS('Raw Data'!$N$2:$N$251,'Raw Data'!$O$2:$O$251,A75)</f>
        <v>17039.349999999999</v>
      </c>
      <c r="D75" s="39">
        <f>COUNTIFS('Raw Data'!$O$2:$O$251,A75)</f>
        <v>19</v>
      </c>
      <c r="E75" s="47">
        <f t="shared" ref="E75:E86" si="5">IFERROR(C75/C74-1,0)</f>
        <v>-0.18547343533468819</v>
      </c>
      <c r="F75" s="48">
        <f t="shared" ref="F75:F86" si="6">C75-C74</f>
        <v>-3879.9800000000032</v>
      </c>
    </row>
    <row r="76" spans="1:8" x14ac:dyDescent="0.35">
      <c r="A76" s="45">
        <f t="shared" si="4"/>
        <v>45444</v>
      </c>
      <c r="B76" s="46">
        <f t="shared" si="3"/>
        <v>45473</v>
      </c>
      <c r="C76" s="38">
        <f>SUMIFS('Raw Data'!$N$2:$N$251,'Raw Data'!$O$2:$O$251,A76)</f>
        <v>19299.45</v>
      </c>
      <c r="D76" s="39">
        <f>COUNTIFS('Raw Data'!$O$2:$O$251,A76)</f>
        <v>19</v>
      </c>
      <c r="E76" s="47">
        <f t="shared" si="5"/>
        <v>0.13264003615161379</v>
      </c>
      <c r="F76" s="48">
        <f t="shared" si="6"/>
        <v>2260.1000000000022</v>
      </c>
    </row>
    <row r="77" spans="1:8" x14ac:dyDescent="0.35">
      <c r="A77" s="45">
        <f t="shared" si="4"/>
        <v>45474</v>
      </c>
      <c r="B77" s="46">
        <f t="shared" si="3"/>
        <v>45504</v>
      </c>
      <c r="C77" s="38">
        <f>SUMIFS('Raw Data'!$N$2:$N$251,'Raw Data'!$O$2:$O$251,A77)</f>
        <v>18479.399999999994</v>
      </c>
      <c r="D77" s="39">
        <f>COUNTIFS('Raw Data'!$O$2:$O$251,A77)</f>
        <v>24</v>
      </c>
      <c r="E77" s="47">
        <f t="shared" si="5"/>
        <v>-4.2490848184793206E-2</v>
      </c>
      <c r="F77" s="48">
        <f t="shared" si="6"/>
        <v>-820.05000000000655</v>
      </c>
    </row>
    <row r="78" spans="1:8" x14ac:dyDescent="0.35">
      <c r="A78" s="45">
        <f t="shared" si="4"/>
        <v>45505</v>
      </c>
      <c r="B78" s="46">
        <f t="shared" si="3"/>
        <v>45535</v>
      </c>
      <c r="C78" s="38">
        <f>SUMIFS('Raw Data'!$N$2:$N$251,'Raw Data'!$O$2:$O$251,A78)</f>
        <v>15759.429999999997</v>
      </c>
      <c r="D78" s="39">
        <f>COUNTIFS('Raw Data'!$O$2:$O$251,A78)</f>
        <v>18</v>
      </c>
      <c r="E78" s="47">
        <f t="shared" si="5"/>
        <v>-0.14718930268298747</v>
      </c>
      <c r="F78" s="48">
        <f t="shared" si="6"/>
        <v>-2719.9699999999975</v>
      </c>
    </row>
    <row r="79" spans="1:8" x14ac:dyDescent="0.35">
      <c r="A79" s="45">
        <f t="shared" si="4"/>
        <v>45536</v>
      </c>
      <c r="B79" s="46">
        <f t="shared" si="3"/>
        <v>45565</v>
      </c>
      <c r="C79" s="38">
        <f>SUMIFS('Raw Data'!$N$2:$N$251,'Raw Data'!$O$2:$O$251,A79)</f>
        <v>12989.509999999997</v>
      </c>
      <c r="D79" s="39">
        <f>COUNTIFS('Raw Data'!$O$2:$O$251,A79)</f>
        <v>19</v>
      </c>
      <c r="E79" s="47">
        <f t="shared" si="5"/>
        <v>-0.17576270207742284</v>
      </c>
      <c r="F79" s="48">
        <f t="shared" si="6"/>
        <v>-2769.92</v>
      </c>
    </row>
    <row r="80" spans="1:8" x14ac:dyDescent="0.35">
      <c r="A80" s="45">
        <f t="shared" si="4"/>
        <v>45566</v>
      </c>
      <c r="B80" s="46">
        <f t="shared" si="3"/>
        <v>45596</v>
      </c>
      <c r="C80" s="38">
        <f>SUMIFS('Raw Data'!$N$2:$N$251,'Raw Data'!$O$2:$O$251,A80)</f>
        <v>20609.52</v>
      </c>
      <c r="D80" s="39">
        <f>COUNTIFS('Raw Data'!$O$2:$O$251,A80)</f>
        <v>16</v>
      </c>
      <c r="E80" s="47">
        <f t="shared" si="5"/>
        <v>0.58662797903847075</v>
      </c>
      <c r="F80" s="48">
        <f t="shared" si="6"/>
        <v>7620.0100000000039</v>
      </c>
    </row>
    <row r="81" spans="1:14" x14ac:dyDescent="0.35">
      <c r="A81" s="45">
        <f t="shared" si="4"/>
        <v>45597</v>
      </c>
      <c r="B81" s="46">
        <f t="shared" si="3"/>
        <v>45626</v>
      </c>
      <c r="C81" s="38">
        <f>SUMIFS('Raw Data'!$N$2:$N$251,'Raw Data'!$O$2:$O$251,A81)</f>
        <v>12309.439999999999</v>
      </c>
      <c r="D81" s="39">
        <f>COUNTIFS('Raw Data'!$O$2:$O$251,A81)</f>
        <v>17</v>
      </c>
      <c r="E81" s="47">
        <f t="shared" si="5"/>
        <v>-0.40273038867474842</v>
      </c>
      <c r="F81" s="48">
        <f t="shared" si="6"/>
        <v>-8300.0800000000017</v>
      </c>
    </row>
    <row r="82" spans="1:14" x14ac:dyDescent="0.35">
      <c r="A82" s="45">
        <f t="shared" si="4"/>
        <v>45627</v>
      </c>
      <c r="B82" s="46">
        <f t="shared" si="3"/>
        <v>45657</v>
      </c>
      <c r="C82" s="38">
        <f>SUMIFS('Raw Data'!$N$2:$N$251,'Raw Data'!$O$2:$O$251,A82)</f>
        <v>23039.3</v>
      </c>
      <c r="D82" s="39">
        <f>COUNTIFS('Raw Data'!$O$2:$O$251,A82)</f>
        <v>25</v>
      </c>
      <c r="E82" s="47">
        <f t="shared" si="5"/>
        <v>0.87167734681675224</v>
      </c>
      <c r="F82" s="48">
        <f t="shared" si="6"/>
        <v>10729.86</v>
      </c>
    </row>
    <row r="83" spans="1:14" x14ac:dyDescent="0.35">
      <c r="A83" s="45">
        <f t="shared" si="4"/>
        <v>45658</v>
      </c>
      <c r="B83" s="46">
        <f t="shared" si="3"/>
        <v>45688</v>
      </c>
      <c r="C83" s="38">
        <f>SUMIFS('Raw Data'!$N$2:$N$251,'Raw Data'!$O$2:$O$251,A83)</f>
        <v>25799.15</v>
      </c>
      <c r="D83" s="39">
        <f>COUNTIFS('Raw Data'!$O$2:$O$251,A83)</f>
        <v>26</v>
      </c>
      <c r="E83" s="47">
        <f t="shared" si="5"/>
        <v>0.11978879566653511</v>
      </c>
      <c r="F83" s="48">
        <f t="shared" si="6"/>
        <v>2759.8500000000022</v>
      </c>
    </row>
    <row r="84" spans="1:14" x14ac:dyDescent="0.35">
      <c r="A84" s="45">
        <f t="shared" si="4"/>
        <v>45689</v>
      </c>
      <c r="B84" s="46">
        <f t="shared" si="3"/>
        <v>45716</v>
      </c>
      <c r="C84" s="38">
        <f>SUMIFS('Raw Data'!$N$2:$N$251,'Raw Data'!$O$2:$O$251,A84)</f>
        <v>16069.379999999997</v>
      </c>
      <c r="D84" s="39">
        <f>COUNTIFS('Raw Data'!$O$2:$O$251,A84)</f>
        <v>20</v>
      </c>
      <c r="E84" s="47">
        <f t="shared" si="5"/>
        <v>-0.37713529321702477</v>
      </c>
      <c r="F84" s="48">
        <f t="shared" si="6"/>
        <v>-9729.7700000000041</v>
      </c>
    </row>
    <row r="85" spans="1:14" x14ac:dyDescent="0.35">
      <c r="A85" s="45">
        <f t="shared" si="4"/>
        <v>45717</v>
      </c>
      <c r="B85" s="46">
        <f t="shared" si="3"/>
        <v>45747</v>
      </c>
      <c r="C85" s="38">
        <f>SUMIFS('Raw Data'!$N$2:$N$251,'Raw Data'!$O$2:$O$251,A85)</f>
        <v>19899.379999999997</v>
      </c>
      <c r="D85" s="39">
        <f>COUNTIFS('Raw Data'!$O$2:$O$251,A85)</f>
        <v>19</v>
      </c>
      <c r="E85" s="47">
        <f t="shared" si="5"/>
        <v>0.23834149170658736</v>
      </c>
      <c r="F85" s="48">
        <f t="shared" si="6"/>
        <v>3830</v>
      </c>
    </row>
    <row r="86" spans="1:14" x14ac:dyDescent="0.35">
      <c r="A86" s="45">
        <f t="shared" si="4"/>
        <v>45748</v>
      </c>
      <c r="B86" s="46">
        <f t="shared" si="3"/>
        <v>45777</v>
      </c>
      <c r="C86" s="38">
        <f>SUMIFS('Raw Data'!$N$2:$N$251,'Raw Data'!$O$2:$O$251,A86)</f>
        <v>6979.829999999999</v>
      </c>
      <c r="D86" s="39">
        <f>COUNTIFS('Raw Data'!$O$2:$O$251,A86)</f>
        <v>7</v>
      </c>
      <c r="E86" s="47">
        <f t="shared" si="5"/>
        <v>-0.64924384578816019</v>
      </c>
      <c r="F86" s="48">
        <f t="shared" si="6"/>
        <v>-12919.55</v>
      </c>
    </row>
    <row r="87" spans="1:14" x14ac:dyDescent="0.35">
      <c r="A87" s="24"/>
    </row>
    <row r="89" spans="1:14" ht="15.5" x14ac:dyDescent="0.35">
      <c r="A89" s="25" t="s">
        <v>447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1:14" x14ac:dyDescent="0.35">
      <c r="A90" s="15" t="s">
        <v>2</v>
      </c>
      <c r="B90" s="15" t="s">
        <v>448</v>
      </c>
      <c r="C90" s="15" t="s">
        <v>428</v>
      </c>
      <c r="D90" s="15" t="s">
        <v>449</v>
      </c>
      <c r="E90" s="15" t="s">
        <v>431</v>
      </c>
      <c r="F90" s="15" t="s">
        <v>433</v>
      </c>
      <c r="G90" s="15" t="s">
        <v>450</v>
      </c>
      <c r="H90" s="15" t="s">
        <v>451</v>
      </c>
      <c r="I90" s="15" t="s">
        <v>452</v>
      </c>
      <c r="J90" s="15" t="s">
        <v>453</v>
      </c>
      <c r="K90" s="15" t="s">
        <v>454</v>
      </c>
      <c r="L90" s="15" t="s">
        <v>455</v>
      </c>
      <c r="M90" s="15" t="s">
        <v>456</v>
      </c>
      <c r="N90" s="15" t="s">
        <v>457</v>
      </c>
    </row>
    <row r="91" spans="1:14" x14ac:dyDescent="0.35">
      <c r="A91" s="37" t="s">
        <v>389</v>
      </c>
      <c r="B91" s="17" t="str">
        <f>INDEX('Raw Data'!$D$2:$D$251,MATCH(A91,'Raw Data'!$C$2:$C$251,0))</f>
        <v>John Smith</v>
      </c>
      <c r="C91" s="38">
        <f>SUMIFS('Raw Data'!$N$2:$N$251,'Raw Data'!$C$2:$C$251,A91)</f>
        <v>599.96</v>
      </c>
      <c r="D91" s="41">
        <f>COUNTIFS('Raw Data'!$C$2:$C$251,A91)</f>
        <v>1</v>
      </c>
      <c r="E91" s="38">
        <f t="shared" ref="E91:E122" si="7">C91/D91</f>
        <v>599.96</v>
      </c>
      <c r="F91" s="41">
        <f t="shared" ref="F91:F122" si="8">RANK(N91,$N$91:$N$140)</f>
        <v>47</v>
      </c>
      <c r="G91" s="49" t="str">
        <f t="shared" ref="G91:G122" si="9">IF(F91&lt;=10,"High Value",IF(F91&lt;=25,"Mid Value","Regular"))</f>
        <v>Regular</v>
      </c>
      <c r="H91" s="49" t="str">
        <f t="shared" ref="H91:H122" si="10">IF(D91&gt;1,"Repeat","One-time")</f>
        <v>One-time</v>
      </c>
      <c r="I91" s="49" t="str">
        <f t="shared" ref="I91:I122" si="11">UPPER(LEFT(B91,1)&amp;MID(B91,FIND(" ",B91)+1,1))</f>
        <v>JS</v>
      </c>
      <c r="J91" s="49" t="str">
        <f t="shared" ref="J91:J122" si="12">UPPER(LEFT(B91,3))&amp;"-"&amp;RIGHT(A91,3)</f>
        <v>JOH-001</v>
      </c>
      <c r="K91" s="17" t="str">
        <f>IF(COUNTIFS('Raw Data'!$C$2:$C$251,A91,'Raw Data'!$G$2:$G$251,"Electronics")&gt;0,B91,"")</f>
        <v/>
      </c>
      <c r="L91" s="17" t="str">
        <f>IF(COUNTIFS('Raw Data'!$C$2:$C$251,A91,'Raw Data'!$G$2:$G$251,"Furniture")&gt;0,B91,"")</f>
        <v>John Smith</v>
      </c>
      <c r="M91" s="17" t="str">
        <f t="shared" ref="M91:M122" si="13">IF(K91="","",IFERROR(INDEX($L$91:$L$140,MATCH(K91,$L$91:$L$140,0)),""))</f>
        <v/>
      </c>
      <c r="N91" s="50">
        <f t="shared" ref="N91:N122" si="14">C91+ROW()/1000000</f>
        <v>599.96009100000003</v>
      </c>
    </row>
    <row r="92" spans="1:14" x14ac:dyDescent="0.35">
      <c r="A92" s="37" t="s">
        <v>135</v>
      </c>
      <c r="B92" s="17" t="str">
        <f>INDEX('Raw Data'!$D$2:$D$251,MATCH(A92,'Raw Data'!$C$2:$C$251,0))</f>
        <v>Emma Wilson</v>
      </c>
      <c r="C92" s="38">
        <f>SUMIFS('Raw Data'!$N$2:$N$251,'Raw Data'!$C$2:$C$251,A92)</f>
        <v>1229.8800000000001</v>
      </c>
      <c r="D92" s="41">
        <f>COUNTIFS('Raw Data'!$C$2:$C$251,A92)</f>
        <v>5</v>
      </c>
      <c r="E92" s="38">
        <f t="shared" si="7"/>
        <v>245.97600000000003</v>
      </c>
      <c r="F92" s="41">
        <f t="shared" si="8"/>
        <v>44</v>
      </c>
      <c r="G92" s="49" t="str">
        <f t="shared" si="9"/>
        <v>Regular</v>
      </c>
      <c r="H92" s="49" t="str">
        <f t="shared" si="10"/>
        <v>Repeat</v>
      </c>
      <c r="I92" s="49" t="str">
        <f t="shared" si="11"/>
        <v>EW</v>
      </c>
      <c r="J92" s="49" t="str">
        <f t="shared" si="12"/>
        <v>EMM-002</v>
      </c>
      <c r="K92" s="17" t="str">
        <f>IF(COUNTIFS('Raw Data'!$C$2:$C$251,A92,'Raw Data'!$G$2:$G$251,"Electronics")&gt;0,B92,"")</f>
        <v>Emma Wilson</v>
      </c>
      <c r="L92" s="17" t="str">
        <f>IF(COUNTIFS('Raw Data'!$C$2:$C$251,A92,'Raw Data'!$G$2:$G$251,"Furniture")&gt;0,B92,"")</f>
        <v>Emma Wilson</v>
      </c>
      <c r="M92" s="17" t="str">
        <f t="shared" si="13"/>
        <v>Emma Wilson</v>
      </c>
      <c r="N92" s="50">
        <f t="shared" si="14"/>
        <v>1229.8800920000001</v>
      </c>
    </row>
    <row r="93" spans="1:14" x14ac:dyDescent="0.35">
      <c r="A93" s="37" t="s">
        <v>45</v>
      </c>
      <c r="B93" s="17" t="str">
        <f>INDEX('Raw Data'!$D$2:$D$251,MATCH(A93,'Raw Data'!$C$2:$C$251,0))</f>
        <v>Michael Brown</v>
      </c>
      <c r="C93" s="38">
        <f>SUMIFS('Raw Data'!$N$2:$N$251,'Raw Data'!$C$2:$C$251,A93)</f>
        <v>6169.7400000000007</v>
      </c>
      <c r="D93" s="41">
        <f>COUNTIFS('Raw Data'!$C$2:$C$251,A93)</f>
        <v>9</v>
      </c>
      <c r="E93" s="38">
        <f t="shared" si="7"/>
        <v>685.52666666666676</v>
      </c>
      <c r="F93" s="41">
        <f t="shared" si="8"/>
        <v>14</v>
      </c>
      <c r="G93" s="49" t="str">
        <f t="shared" si="9"/>
        <v>Mid Value</v>
      </c>
      <c r="H93" s="49" t="str">
        <f t="shared" si="10"/>
        <v>Repeat</v>
      </c>
      <c r="I93" s="49" t="str">
        <f t="shared" si="11"/>
        <v>MB</v>
      </c>
      <c r="J93" s="49" t="str">
        <f t="shared" si="12"/>
        <v>MIC-003</v>
      </c>
      <c r="K93" s="17" t="str">
        <f>IF(COUNTIFS('Raw Data'!$C$2:$C$251,A93,'Raw Data'!$G$2:$G$251,"Electronics")&gt;0,B93,"")</f>
        <v>Michael Brown</v>
      </c>
      <c r="L93" s="17" t="str">
        <f>IF(COUNTIFS('Raw Data'!$C$2:$C$251,A93,'Raw Data'!$G$2:$G$251,"Furniture")&gt;0,B93,"")</f>
        <v>Michael Brown</v>
      </c>
      <c r="M93" s="17" t="str">
        <f t="shared" si="13"/>
        <v>Michael Brown</v>
      </c>
      <c r="N93" s="50">
        <f t="shared" si="14"/>
        <v>6169.7400930000003</v>
      </c>
    </row>
    <row r="94" spans="1:14" x14ac:dyDescent="0.35">
      <c r="A94" s="37" t="s">
        <v>157</v>
      </c>
      <c r="B94" s="17" t="str">
        <f>INDEX('Raw Data'!$D$2:$D$251,MATCH(A94,'Raw Data'!$C$2:$C$251,0))</f>
        <v>Sarah Davis</v>
      </c>
      <c r="C94" s="38">
        <f>SUMIFS('Raw Data'!$N$2:$N$251,'Raw Data'!$C$2:$C$251,A94)</f>
        <v>5499.8099999999995</v>
      </c>
      <c r="D94" s="41">
        <f>COUNTIFS('Raw Data'!$C$2:$C$251,A94)</f>
        <v>5</v>
      </c>
      <c r="E94" s="38">
        <f t="shared" si="7"/>
        <v>1099.962</v>
      </c>
      <c r="F94" s="41">
        <f t="shared" si="8"/>
        <v>19</v>
      </c>
      <c r="G94" s="49" t="str">
        <f t="shared" si="9"/>
        <v>Mid Value</v>
      </c>
      <c r="H94" s="49" t="str">
        <f t="shared" si="10"/>
        <v>Repeat</v>
      </c>
      <c r="I94" s="49" t="str">
        <f t="shared" si="11"/>
        <v>SD</v>
      </c>
      <c r="J94" s="49" t="str">
        <f t="shared" si="12"/>
        <v>SAR-004</v>
      </c>
      <c r="K94" s="17" t="str">
        <f>IF(COUNTIFS('Raw Data'!$C$2:$C$251,A94,'Raw Data'!$G$2:$G$251,"Electronics")&gt;0,B94,"")</f>
        <v>Sarah Davis</v>
      </c>
      <c r="L94" s="17" t="str">
        <f>IF(COUNTIFS('Raw Data'!$C$2:$C$251,A94,'Raw Data'!$G$2:$G$251,"Furniture")&gt;0,B94,"")</f>
        <v>Sarah Davis</v>
      </c>
      <c r="M94" s="17" t="str">
        <f t="shared" si="13"/>
        <v>Sarah Davis</v>
      </c>
      <c r="N94" s="50">
        <f t="shared" si="14"/>
        <v>5499.8100939999995</v>
      </c>
    </row>
    <row r="95" spans="1:14" x14ac:dyDescent="0.35">
      <c r="A95" s="37" t="s">
        <v>307</v>
      </c>
      <c r="B95" s="17" t="str">
        <f>INDEX('Raw Data'!$D$2:$D$251,MATCH(A95,'Raw Data'!$C$2:$C$251,0))</f>
        <v>James Johnson</v>
      </c>
      <c r="C95" s="38">
        <f>SUMIFS('Raw Data'!$N$2:$N$251,'Raw Data'!$C$2:$C$251,A95)</f>
        <v>179.97</v>
      </c>
      <c r="D95" s="41">
        <f>COUNTIFS('Raw Data'!$C$2:$C$251,A95)</f>
        <v>1</v>
      </c>
      <c r="E95" s="38">
        <f t="shared" si="7"/>
        <v>179.97</v>
      </c>
      <c r="F95" s="41">
        <f t="shared" si="8"/>
        <v>50</v>
      </c>
      <c r="G95" s="49" t="str">
        <f t="shared" si="9"/>
        <v>Regular</v>
      </c>
      <c r="H95" s="49" t="str">
        <f t="shared" si="10"/>
        <v>One-time</v>
      </c>
      <c r="I95" s="49" t="str">
        <f t="shared" si="11"/>
        <v>JJ</v>
      </c>
      <c r="J95" s="49" t="str">
        <f t="shared" si="12"/>
        <v>JAM-005</v>
      </c>
      <c r="K95" s="17" t="str">
        <f>IF(COUNTIFS('Raw Data'!$C$2:$C$251,A95,'Raw Data'!$G$2:$G$251,"Electronics")&gt;0,B95,"")</f>
        <v/>
      </c>
      <c r="L95" s="17" t="str">
        <f>IF(COUNTIFS('Raw Data'!$C$2:$C$251,A95,'Raw Data'!$G$2:$G$251,"Furniture")&gt;0,B95,"")</f>
        <v/>
      </c>
      <c r="M95" s="17" t="str">
        <f t="shared" si="13"/>
        <v/>
      </c>
      <c r="N95" s="50">
        <f t="shared" si="14"/>
        <v>179.97009499999999</v>
      </c>
    </row>
    <row r="96" spans="1:14" x14ac:dyDescent="0.35">
      <c r="A96" s="37" t="s">
        <v>132</v>
      </c>
      <c r="B96" s="17" t="str">
        <f>INDEX('Raw Data'!$D$2:$D$251,MATCH(A96,'Raw Data'!$C$2:$C$251,0))</f>
        <v>Lisa Anderson</v>
      </c>
      <c r="C96" s="38">
        <f>SUMIFS('Raw Data'!$N$2:$N$251,'Raw Data'!$C$2:$C$251,A96)</f>
        <v>2039.8000000000002</v>
      </c>
      <c r="D96" s="41">
        <f>COUNTIFS('Raw Data'!$C$2:$C$251,A96)</f>
        <v>5</v>
      </c>
      <c r="E96" s="38">
        <f t="shared" si="7"/>
        <v>407.96000000000004</v>
      </c>
      <c r="F96" s="41">
        <f t="shared" si="8"/>
        <v>36</v>
      </c>
      <c r="G96" s="49" t="str">
        <f t="shared" si="9"/>
        <v>Regular</v>
      </c>
      <c r="H96" s="49" t="str">
        <f t="shared" si="10"/>
        <v>Repeat</v>
      </c>
      <c r="I96" s="49" t="str">
        <f t="shared" si="11"/>
        <v>LA</v>
      </c>
      <c r="J96" s="49" t="str">
        <f t="shared" si="12"/>
        <v>LIS-006</v>
      </c>
      <c r="K96" s="17" t="str">
        <f>IF(COUNTIFS('Raw Data'!$C$2:$C$251,A96,'Raw Data'!$G$2:$G$251,"Electronics")&gt;0,B96,"")</f>
        <v>Lisa Anderson</v>
      </c>
      <c r="L96" s="17" t="str">
        <f>IF(COUNTIFS('Raw Data'!$C$2:$C$251,A96,'Raw Data'!$G$2:$G$251,"Furniture")&gt;0,B96,"")</f>
        <v>Lisa Anderson</v>
      </c>
      <c r="M96" s="17" t="str">
        <f t="shared" si="13"/>
        <v>Lisa Anderson</v>
      </c>
      <c r="N96" s="50">
        <f t="shared" si="14"/>
        <v>2039.8000960000002</v>
      </c>
    </row>
    <row r="97" spans="1:14" x14ac:dyDescent="0.35">
      <c r="A97" s="37" t="s">
        <v>185</v>
      </c>
      <c r="B97" s="17" t="str">
        <f>INDEX('Raw Data'!$D$2:$D$251,MATCH(A97,'Raw Data'!$C$2:$C$251,0))</f>
        <v>David Martinez</v>
      </c>
      <c r="C97" s="38">
        <f>SUMIFS('Raw Data'!$N$2:$N$251,'Raw Data'!$C$2:$C$251,A97)</f>
        <v>1809.84</v>
      </c>
      <c r="D97" s="41">
        <f>COUNTIFS('Raw Data'!$C$2:$C$251,A97)</f>
        <v>6</v>
      </c>
      <c r="E97" s="38">
        <f t="shared" si="7"/>
        <v>301.64</v>
      </c>
      <c r="F97" s="41">
        <f t="shared" si="8"/>
        <v>39</v>
      </c>
      <c r="G97" s="49" t="str">
        <f t="shared" si="9"/>
        <v>Regular</v>
      </c>
      <c r="H97" s="49" t="str">
        <f t="shared" si="10"/>
        <v>Repeat</v>
      </c>
      <c r="I97" s="49" t="str">
        <f t="shared" si="11"/>
        <v>DM</v>
      </c>
      <c r="J97" s="49" t="str">
        <f t="shared" si="12"/>
        <v>DAV-007</v>
      </c>
      <c r="K97" s="17" t="str">
        <f>IF(COUNTIFS('Raw Data'!$C$2:$C$251,A97,'Raw Data'!$G$2:$G$251,"Electronics")&gt;0,B97,"")</f>
        <v>David Martinez</v>
      </c>
      <c r="L97" s="17" t="str">
        <f>IF(COUNTIFS('Raw Data'!$C$2:$C$251,A97,'Raw Data'!$G$2:$G$251,"Furniture")&gt;0,B97,"")</f>
        <v>David Martinez</v>
      </c>
      <c r="M97" s="17" t="str">
        <f t="shared" si="13"/>
        <v>David Martinez</v>
      </c>
      <c r="N97" s="50">
        <f t="shared" si="14"/>
        <v>1809.840097</v>
      </c>
    </row>
    <row r="98" spans="1:14" x14ac:dyDescent="0.35">
      <c r="A98" s="37" t="s">
        <v>144</v>
      </c>
      <c r="B98" s="17" t="str">
        <f>INDEX('Raw Data'!$D$2:$D$251,MATCH(A98,'Raw Data'!$C$2:$C$251,0))</f>
        <v>Jennifer Taylor</v>
      </c>
      <c r="C98" s="38">
        <f>SUMIFS('Raw Data'!$N$2:$N$251,'Raw Data'!$C$2:$C$251,A98)</f>
        <v>4739.8500000000004</v>
      </c>
      <c r="D98" s="41">
        <f>COUNTIFS('Raw Data'!$C$2:$C$251,A98)</f>
        <v>4</v>
      </c>
      <c r="E98" s="38">
        <f t="shared" si="7"/>
        <v>1184.9625000000001</v>
      </c>
      <c r="F98" s="41">
        <f t="shared" si="8"/>
        <v>24</v>
      </c>
      <c r="G98" s="49" t="str">
        <f t="shared" si="9"/>
        <v>Mid Value</v>
      </c>
      <c r="H98" s="49" t="str">
        <f t="shared" si="10"/>
        <v>Repeat</v>
      </c>
      <c r="I98" s="49" t="str">
        <f t="shared" si="11"/>
        <v>JT</v>
      </c>
      <c r="J98" s="49" t="str">
        <f t="shared" si="12"/>
        <v>JEN-008</v>
      </c>
      <c r="K98" s="17" t="str">
        <f>IF(COUNTIFS('Raw Data'!$C$2:$C$251,A98,'Raw Data'!$G$2:$G$251,"Electronics")&gt;0,B98,"")</f>
        <v>Jennifer Taylor</v>
      </c>
      <c r="L98" s="17" t="str">
        <f>IF(COUNTIFS('Raw Data'!$C$2:$C$251,A98,'Raw Data'!$G$2:$G$251,"Furniture")&gt;0,B98,"")</f>
        <v>Jennifer Taylor</v>
      </c>
      <c r="M98" s="17" t="str">
        <f t="shared" si="13"/>
        <v>Jennifer Taylor</v>
      </c>
      <c r="N98" s="50">
        <f t="shared" si="14"/>
        <v>4739.8500980000008</v>
      </c>
    </row>
    <row r="99" spans="1:14" x14ac:dyDescent="0.35">
      <c r="A99" s="37" t="s">
        <v>62</v>
      </c>
      <c r="B99" s="17" t="str">
        <f>INDEX('Raw Data'!$D$2:$D$251,MATCH(A99,'Raw Data'!$C$2:$C$251,0))</f>
        <v>Robert Thomas</v>
      </c>
      <c r="C99" s="38">
        <f>SUMIFS('Raw Data'!$N$2:$N$251,'Raw Data'!$C$2:$C$251,A99)</f>
        <v>3509.8999999999996</v>
      </c>
      <c r="D99" s="41">
        <f>COUNTIFS('Raw Data'!$C$2:$C$251,A99)</f>
        <v>5</v>
      </c>
      <c r="E99" s="38">
        <f t="shared" si="7"/>
        <v>701.9799999999999</v>
      </c>
      <c r="F99" s="41">
        <f t="shared" si="8"/>
        <v>32</v>
      </c>
      <c r="G99" s="49" t="str">
        <f t="shared" si="9"/>
        <v>Regular</v>
      </c>
      <c r="H99" s="49" t="str">
        <f t="shared" si="10"/>
        <v>Repeat</v>
      </c>
      <c r="I99" s="49" t="str">
        <f t="shared" si="11"/>
        <v>RT</v>
      </c>
      <c r="J99" s="49" t="str">
        <f t="shared" si="12"/>
        <v>ROB-009</v>
      </c>
      <c r="K99" s="17" t="str">
        <f>IF(COUNTIFS('Raw Data'!$C$2:$C$251,A99,'Raw Data'!$G$2:$G$251,"Electronics")&gt;0,B99,"")</f>
        <v>Robert Thomas</v>
      </c>
      <c r="L99" s="17" t="str">
        <f>IF(COUNTIFS('Raw Data'!$C$2:$C$251,A99,'Raw Data'!$G$2:$G$251,"Furniture")&gt;0,B99,"")</f>
        <v>Robert Thomas</v>
      </c>
      <c r="M99" s="17" t="str">
        <f t="shared" si="13"/>
        <v>Robert Thomas</v>
      </c>
      <c r="N99" s="50">
        <f t="shared" si="14"/>
        <v>3509.9000989999995</v>
      </c>
    </row>
    <row r="100" spans="1:14" x14ac:dyDescent="0.35">
      <c r="A100" s="37" t="s">
        <v>92</v>
      </c>
      <c r="B100" s="17" t="str">
        <f>INDEX('Raw Data'!$D$2:$D$251,MATCH(A100,'Raw Data'!$C$2:$C$251,0))</f>
        <v>Maria Garcia</v>
      </c>
      <c r="C100" s="38">
        <f>SUMIFS('Raw Data'!$N$2:$N$251,'Raw Data'!$C$2:$C$251,A100)</f>
        <v>1909.93</v>
      </c>
      <c r="D100" s="41">
        <f>COUNTIFS('Raw Data'!$C$2:$C$251,A100)</f>
        <v>4</v>
      </c>
      <c r="E100" s="38">
        <f t="shared" si="7"/>
        <v>477.48250000000002</v>
      </c>
      <c r="F100" s="41">
        <f t="shared" si="8"/>
        <v>38</v>
      </c>
      <c r="G100" s="49" t="str">
        <f t="shared" si="9"/>
        <v>Regular</v>
      </c>
      <c r="H100" s="49" t="str">
        <f t="shared" si="10"/>
        <v>Repeat</v>
      </c>
      <c r="I100" s="49" t="str">
        <f t="shared" si="11"/>
        <v>MG</v>
      </c>
      <c r="J100" s="49" t="str">
        <f t="shared" si="12"/>
        <v>MAR-010</v>
      </c>
      <c r="K100" s="17" t="str">
        <f>IF(COUNTIFS('Raw Data'!$C$2:$C$251,A100,'Raw Data'!$G$2:$G$251,"Electronics")&gt;0,B100,"")</f>
        <v>Maria Garcia</v>
      </c>
      <c r="L100" s="17" t="str">
        <f>IF(COUNTIFS('Raw Data'!$C$2:$C$251,A100,'Raw Data'!$G$2:$G$251,"Furniture")&gt;0,B100,"")</f>
        <v>Maria Garcia</v>
      </c>
      <c r="M100" s="17" t="str">
        <f t="shared" si="13"/>
        <v>Maria Garcia</v>
      </c>
      <c r="N100" s="50">
        <f t="shared" si="14"/>
        <v>1909.9301</v>
      </c>
    </row>
    <row r="101" spans="1:14" x14ac:dyDescent="0.35">
      <c r="A101" s="37" t="s">
        <v>255</v>
      </c>
      <c r="B101" s="17" t="str">
        <f>INDEX('Raw Data'!$D$2:$D$251,MATCH(A101,'Raw Data'!$C$2:$C$251,0))</f>
        <v>William White</v>
      </c>
      <c r="C101" s="38">
        <f>SUMIFS('Raw Data'!$N$2:$N$251,'Raw Data'!$C$2:$C$251,A101)</f>
        <v>4749.91</v>
      </c>
      <c r="D101" s="41">
        <f>COUNTIFS('Raw Data'!$C$2:$C$251,A101)</f>
        <v>3</v>
      </c>
      <c r="E101" s="38">
        <f t="shared" si="7"/>
        <v>1583.3033333333333</v>
      </c>
      <c r="F101" s="41">
        <f t="shared" si="8"/>
        <v>23</v>
      </c>
      <c r="G101" s="49" t="str">
        <f t="shared" si="9"/>
        <v>Mid Value</v>
      </c>
      <c r="H101" s="49" t="str">
        <f t="shared" si="10"/>
        <v>Repeat</v>
      </c>
      <c r="I101" s="49" t="str">
        <f t="shared" si="11"/>
        <v>WW</v>
      </c>
      <c r="J101" s="49" t="str">
        <f t="shared" si="12"/>
        <v>WIL-011</v>
      </c>
      <c r="K101" s="17" t="str">
        <f>IF(COUNTIFS('Raw Data'!$C$2:$C$251,A101,'Raw Data'!$G$2:$G$251,"Electronics")&gt;0,B101,"")</f>
        <v>William White</v>
      </c>
      <c r="L101" s="17" t="str">
        <f>IF(COUNTIFS('Raw Data'!$C$2:$C$251,A101,'Raw Data'!$G$2:$G$251,"Furniture")&gt;0,B101,"")</f>
        <v/>
      </c>
      <c r="M101" s="17" t="str">
        <f t="shared" si="13"/>
        <v/>
      </c>
      <c r="N101" s="50">
        <f t="shared" si="14"/>
        <v>4749.9101009999995</v>
      </c>
    </row>
    <row r="102" spans="1:14" x14ac:dyDescent="0.35">
      <c r="A102" s="37" t="s">
        <v>102</v>
      </c>
      <c r="B102" s="17" t="str">
        <f>INDEX('Raw Data'!$D$2:$D$251,MATCH(A102,'Raw Data'!$C$2:$C$251,0))</f>
        <v>Patricia Moore</v>
      </c>
      <c r="C102" s="38">
        <f>SUMIFS('Raw Data'!$N$2:$N$251,'Raw Data'!$C$2:$C$251,A102)</f>
        <v>9799.73</v>
      </c>
      <c r="D102" s="41">
        <f>COUNTIFS('Raw Data'!$C$2:$C$251,A102)</f>
        <v>8</v>
      </c>
      <c r="E102" s="38">
        <f t="shared" si="7"/>
        <v>1224.9662499999999</v>
      </c>
      <c r="F102" s="41">
        <f t="shared" si="8"/>
        <v>4</v>
      </c>
      <c r="G102" s="49" t="str">
        <f t="shared" si="9"/>
        <v>High Value</v>
      </c>
      <c r="H102" s="49" t="str">
        <f t="shared" si="10"/>
        <v>Repeat</v>
      </c>
      <c r="I102" s="49" t="str">
        <f t="shared" si="11"/>
        <v>PM</v>
      </c>
      <c r="J102" s="49" t="str">
        <f t="shared" si="12"/>
        <v>PAT-012</v>
      </c>
      <c r="K102" s="17" t="str">
        <f>IF(COUNTIFS('Raw Data'!$C$2:$C$251,A102,'Raw Data'!$G$2:$G$251,"Electronics")&gt;0,B102,"")</f>
        <v>Patricia Moore</v>
      </c>
      <c r="L102" s="17" t="str">
        <f>IF(COUNTIFS('Raw Data'!$C$2:$C$251,A102,'Raw Data'!$G$2:$G$251,"Furniture")&gt;0,B102,"")</f>
        <v>Patricia Moore</v>
      </c>
      <c r="M102" s="17" t="str">
        <f t="shared" si="13"/>
        <v>Patricia Moore</v>
      </c>
      <c r="N102" s="50">
        <f t="shared" si="14"/>
        <v>9799.7301019999995</v>
      </c>
    </row>
    <row r="103" spans="1:14" x14ac:dyDescent="0.35">
      <c r="A103" s="37" t="s">
        <v>27</v>
      </c>
      <c r="B103" s="17" t="str">
        <f>INDEX('Raw Data'!$D$2:$D$251,MATCH(A103,'Raw Data'!$C$2:$C$251,0))</f>
        <v>Joseph Jackson</v>
      </c>
      <c r="C103" s="38">
        <f>SUMIFS('Raw Data'!$N$2:$N$251,'Raw Data'!$C$2:$C$251,A103)</f>
        <v>6949.84</v>
      </c>
      <c r="D103" s="41">
        <f>COUNTIFS('Raw Data'!$C$2:$C$251,A103)</f>
        <v>5</v>
      </c>
      <c r="E103" s="38">
        <f t="shared" si="7"/>
        <v>1389.9680000000001</v>
      </c>
      <c r="F103" s="41">
        <f t="shared" si="8"/>
        <v>10</v>
      </c>
      <c r="G103" s="49" t="str">
        <f t="shared" si="9"/>
        <v>High Value</v>
      </c>
      <c r="H103" s="49" t="str">
        <f t="shared" si="10"/>
        <v>Repeat</v>
      </c>
      <c r="I103" s="49" t="str">
        <f t="shared" si="11"/>
        <v>JJ</v>
      </c>
      <c r="J103" s="49" t="str">
        <f t="shared" si="12"/>
        <v>JOS-013</v>
      </c>
      <c r="K103" s="17" t="str">
        <f>IF(COUNTIFS('Raw Data'!$C$2:$C$251,A103,'Raw Data'!$G$2:$G$251,"Electronics")&gt;0,B103,"")</f>
        <v>Joseph Jackson</v>
      </c>
      <c r="L103" s="17" t="str">
        <f>IF(COUNTIFS('Raw Data'!$C$2:$C$251,A103,'Raw Data'!$G$2:$G$251,"Furniture")&gt;0,B103,"")</f>
        <v/>
      </c>
      <c r="M103" s="17" t="str">
        <f t="shared" si="13"/>
        <v/>
      </c>
      <c r="N103" s="50">
        <f t="shared" si="14"/>
        <v>6949.8401030000005</v>
      </c>
    </row>
    <row r="104" spans="1:14" x14ac:dyDescent="0.35">
      <c r="A104" s="37" t="s">
        <v>115</v>
      </c>
      <c r="B104" s="17" t="str">
        <f>INDEX('Raw Data'!$D$2:$D$251,MATCH(A104,'Raw Data'!$C$2:$C$251,0))</f>
        <v>Linda Martin</v>
      </c>
      <c r="C104" s="38">
        <f>SUMIFS('Raw Data'!$N$2:$N$251,'Raw Data'!$C$2:$C$251,A104)</f>
        <v>1289.9000000000001</v>
      </c>
      <c r="D104" s="41">
        <f>COUNTIFS('Raw Data'!$C$2:$C$251,A104)</f>
        <v>4</v>
      </c>
      <c r="E104" s="38">
        <f t="shared" si="7"/>
        <v>322.47500000000002</v>
      </c>
      <c r="F104" s="41">
        <f t="shared" si="8"/>
        <v>43</v>
      </c>
      <c r="G104" s="49" t="str">
        <f t="shared" si="9"/>
        <v>Regular</v>
      </c>
      <c r="H104" s="49" t="str">
        <f t="shared" si="10"/>
        <v>Repeat</v>
      </c>
      <c r="I104" s="49" t="str">
        <f t="shared" si="11"/>
        <v>LM</v>
      </c>
      <c r="J104" s="49" t="str">
        <f t="shared" si="12"/>
        <v>LIN-014</v>
      </c>
      <c r="K104" s="17" t="str">
        <f>IF(COUNTIFS('Raw Data'!$C$2:$C$251,A104,'Raw Data'!$G$2:$G$251,"Electronics")&gt;0,B104,"")</f>
        <v>Linda Martin</v>
      </c>
      <c r="L104" s="17" t="str">
        <f>IF(COUNTIFS('Raw Data'!$C$2:$C$251,A104,'Raw Data'!$G$2:$G$251,"Furniture")&gt;0,B104,"")</f>
        <v>Linda Martin</v>
      </c>
      <c r="M104" s="17" t="str">
        <f t="shared" si="13"/>
        <v>Linda Martin</v>
      </c>
      <c r="N104" s="50">
        <f t="shared" si="14"/>
        <v>1289.9001040000001</v>
      </c>
    </row>
    <row r="105" spans="1:14" x14ac:dyDescent="0.35">
      <c r="A105" s="37" t="s">
        <v>262</v>
      </c>
      <c r="B105" s="17" t="str">
        <f>INDEX('Raw Data'!$D$2:$D$251,MATCH(A105,'Raw Data'!$C$2:$C$251,0))</f>
        <v>Richard Lee</v>
      </c>
      <c r="C105" s="38">
        <f>SUMIFS('Raw Data'!$N$2:$N$251,'Raw Data'!$C$2:$C$251,A105)</f>
        <v>739.93000000000006</v>
      </c>
      <c r="D105" s="41">
        <f>COUNTIFS('Raw Data'!$C$2:$C$251,A105)</f>
        <v>3</v>
      </c>
      <c r="E105" s="38">
        <f t="shared" si="7"/>
        <v>246.64333333333335</v>
      </c>
      <c r="F105" s="41">
        <f t="shared" si="8"/>
        <v>46</v>
      </c>
      <c r="G105" s="49" t="str">
        <f t="shared" si="9"/>
        <v>Regular</v>
      </c>
      <c r="H105" s="49" t="str">
        <f t="shared" si="10"/>
        <v>Repeat</v>
      </c>
      <c r="I105" s="49" t="str">
        <f t="shared" si="11"/>
        <v>RL</v>
      </c>
      <c r="J105" s="49" t="str">
        <f t="shared" si="12"/>
        <v>RIC-015</v>
      </c>
      <c r="K105" s="17" t="str">
        <f>IF(COUNTIFS('Raw Data'!$C$2:$C$251,A105,'Raw Data'!$G$2:$G$251,"Electronics")&gt;0,B105,"")</f>
        <v/>
      </c>
      <c r="L105" s="17" t="str">
        <f>IF(COUNTIFS('Raw Data'!$C$2:$C$251,A105,'Raw Data'!$G$2:$G$251,"Furniture")&gt;0,B105,"")</f>
        <v>Richard Lee</v>
      </c>
      <c r="M105" s="17" t="str">
        <f t="shared" si="13"/>
        <v/>
      </c>
      <c r="N105" s="50">
        <f t="shared" si="14"/>
        <v>739.93010500000003</v>
      </c>
    </row>
    <row r="106" spans="1:14" x14ac:dyDescent="0.35">
      <c r="A106" s="37" t="s">
        <v>214</v>
      </c>
      <c r="B106" s="17" t="str">
        <f>INDEX('Raw Data'!$D$2:$D$251,MATCH(A106,'Raw Data'!$C$2:$C$251,0))</f>
        <v>Elizabeth Hall</v>
      </c>
      <c r="C106" s="38">
        <f>SUMIFS('Raw Data'!$N$2:$N$251,'Raw Data'!$C$2:$C$251,A106)</f>
        <v>3649.8599999999997</v>
      </c>
      <c r="D106" s="41">
        <f>COUNTIFS('Raw Data'!$C$2:$C$251,A106)</f>
        <v>4</v>
      </c>
      <c r="E106" s="38">
        <f t="shared" si="7"/>
        <v>912.46499999999992</v>
      </c>
      <c r="F106" s="41">
        <f t="shared" si="8"/>
        <v>31</v>
      </c>
      <c r="G106" s="49" t="str">
        <f t="shared" si="9"/>
        <v>Regular</v>
      </c>
      <c r="H106" s="49" t="str">
        <f t="shared" si="10"/>
        <v>Repeat</v>
      </c>
      <c r="I106" s="49" t="str">
        <f t="shared" si="11"/>
        <v>EH</v>
      </c>
      <c r="J106" s="49" t="str">
        <f t="shared" si="12"/>
        <v>ELI-016</v>
      </c>
      <c r="K106" s="17" t="str">
        <f>IF(COUNTIFS('Raw Data'!$C$2:$C$251,A106,'Raw Data'!$G$2:$G$251,"Electronics")&gt;0,B106,"")</f>
        <v>Elizabeth Hall</v>
      </c>
      <c r="L106" s="17" t="str">
        <f>IF(COUNTIFS('Raw Data'!$C$2:$C$251,A106,'Raw Data'!$G$2:$G$251,"Furniture")&gt;0,B106,"")</f>
        <v>Elizabeth Hall</v>
      </c>
      <c r="M106" s="17" t="str">
        <f t="shared" si="13"/>
        <v>Elizabeth Hall</v>
      </c>
      <c r="N106" s="50">
        <f t="shared" si="14"/>
        <v>3649.8601059999996</v>
      </c>
    </row>
    <row r="107" spans="1:14" x14ac:dyDescent="0.35">
      <c r="A107" s="37" t="s">
        <v>58</v>
      </c>
      <c r="B107" s="17" t="str">
        <f>INDEX('Raw Data'!$D$2:$D$251,MATCH(A107,'Raw Data'!$C$2:$C$251,0))</f>
        <v>Charles Allen</v>
      </c>
      <c r="C107" s="38">
        <f>SUMIFS('Raw Data'!$N$2:$N$251,'Raw Data'!$C$2:$C$251,A107)</f>
        <v>5089.7300000000005</v>
      </c>
      <c r="D107" s="41">
        <f>COUNTIFS('Raw Data'!$C$2:$C$251,A107)</f>
        <v>9</v>
      </c>
      <c r="E107" s="38">
        <f t="shared" si="7"/>
        <v>565.52555555555557</v>
      </c>
      <c r="F107" s="41">
        <f t="shared" si="8"/>
        <v>20</v>
      </c>
      <c r="G107" s="49" t="str">
        <f t="shared" si="9"/>
        <v>Mid Value</v>
      </c>
      <c r="H107" s="49" t="str">
        <f t="shared" si="10"/>
        <v>Repeat</v>
      </c>
      <c r="I107" s="49" t="str">
        <f t="shared" si="11"/>
        <v>CA</v>
      </c>
      <c r="J107" s="49" t="str">
        <f t="shared" si="12"/>
        <v>CHA-017</v>
      </c>
      <c r="K107" s="17" t="str">
        <f>IF(COUNTIFS('Raw Data'!$C$2:$C$251,A107,'Raw Data'!$G$2:$G$251,"Electronics")&gt;0,B107,"")</f>
        <v>Charles Allen</v>
      </c>
      <c r="L107" s="17" t="str">
        <f>IF(COUNTIFS('Raw Data'!$C$2:$C$251,A107,'Raw Data'!$G$2:$G$251,"Furniture")&gt;0,B107,"")</f>
        <v>Charles Allen</v>
      </c>
      <c r="M107" s="17" t="str">
        <f t="shared" si="13"/>
        <v>Charles Allen</v>
      </c>
      <c r="N107" s="50">
        <f t="shared" si="14"/>
        <v>5089.7301070000003</v>
      </c>
    </row>
    <row r="108" spans="1:14" x14ac:dyDescent="0.35">
      <c r="A108" s="37" t="s">
        <v>99</v>
      </c>
      <c r="B108" s="17" t="str">
        <f>INDEX('Raw Data'!$D$2:$D$251,MATCH(A108,'Raw Data'!$C$2:$C$251,0))</f>
        <v>Barbara Young</v>
      </c>
      <c r="C108" s="38">
        <f>SUMIFS('Raw Data'!$N$2:$N$251,'Raw Data'!$C$2:$C$251,A108)</f>
        <v>10649.8</v>
      </c>
      <c r="D108" s="41">
        <f>COUNTIFS('Raw Data'!$C$2:$C$251,A108)</f>
        <v>5</v>
      </c>
      <c r="E108" s="38">
        <f t="shared" si="7"/>
        <v>2129.96</v>
      </c>
      <c r="F108" s="41">
        <f t="shared" si="8"/>
        <v>3</v>
      </c>
      <c r="G108" s="49" t="str">
        <f t="shared" si="9"/>
        <v>High Value</v>
      </c>
      <c r="H108" s="49" t="str">
        <f t="shared" si="10"/>
        <v>Repeat</v>
      </c>
      <c r="I108" s="49" t="str">
        <f t="shared" si="11"/>
        <v>BY</v>
      </c>
      <c r="J108" s="49" t="str">
        <f t="shared" si="12"/>
        <v>BAR-018</v>
      </c>
      <c r="K108" s="17" t="str">
        <f>IF(COUNTIFS('Raw Data'!$C$2:$C$251,A108,'Raw Data'!$G$2:$G$251,"Electronics")&gt;0,B108,"")</f>
        <v>Barbara Young</v>
      </c>
      <c r="L108" s="17" t="str">
        <f>IF(COUNTIFS('Raw Data'!$C$2:$C$251,A108,'Raw Data'!$G$2:$G$251,"Furniture")&gt;0,B108,"")</f>
        <v/>
      </c>
      <c r="M108" s="17" t="str">
        <f t="shared" si="13"/>
        <v/>
      </c>
      <c r="N108" s="50">
        <f t="shared" si="14"/>
        <v>10649.800107999999</v>
      </c>
    </row>
    <row r="109" spans="1:14" x14ac:dyDescent="0.35">
      <c r="A109" s="37" t="s">
        <v>150</v>
      </c>
      <c r="B109" s="17" t="str">
        <f>INDEX('Raw Data'!$D$2:$D$251,MATCH(A109,'Raw Data'!$C$2:$C$251,0))</f>
        <v>Daniel King</v>
      </c>
      <c r="C109" s="38">
        <f>SUMIFS('Raw Data'!$N$2:$N$251,'Raw Data'!$C$2:$C$251,A109)</f>
        <v>7309.7999999999993</v>
      </c>
      <c r="D109" s="41">
        <f>COUNTIFS('Raw Data'!$C$2:$C$251,A109)</f>
        <v>7</v>
      </c>
      <c r="E109" s="38">
        <f t="shared" si="7"/>
        <v>1044.2571428571428</v>
      </c>
      <c r="F109" s="41">
        <f t="shared" si="8"/>
        <v>8</v>
      </c>
      <c r="G109" s="49" t="str">
        <f t="shared" si="9"/>
        <v>High Value</v>
      </c>
      <c r="H109" s="49" t="str">
        <f t="shared" si="10"/>
        <v>Repeat</v>
      </c>
      <c r="I109" s="49" t="str">
        <f t="shared" si="11"/>
        <v>DK</v>
      </c>
      <c r="J109" s="49" t="str">
        <f t="shared" si="12"/>
        <v>DAN-019</v>
      </c>
      <c r="K109" s="17" t="str">
        <f>IF(COUNTIFS('Raw Data'!$C$2:$C$251,A109,'Raw Data'!$G$2:$G$251,"Electronics")&gt;0,B109,"")</f>
        <v>Daniel King</v>
      </c>
      <c r="L109" s="17" t="str">
        <f>IF(COUNTIFS('Raw Data'!$C$2:$C$251,A109,'Raw Data'!$G$2:$G$251,"Furniture")&gt;0,B109,"")</f>
        <v>Daniel King</v>
      </c>
      <c r="M109" s="17" t="str">
        <f t="shared" si="13"/>
        <v>Daniel King</v>
      </c>
      <c r="N109" s="50">
        <f t="shared" si="14"/>
        <v>7309.8001089999989</v>
      </c>
    </row>
    <row r="110" spans="1:14" x14ac:dyDescent="0.35">
      <c r="A110" s="37" t="s">
        <v>188</v>
      </c>
      <c r="B110" s="17" t="str">
        <f>INDEX('Raw Data'!$D$2:$D$251,MATCH(A110,'Raw Data'!$C$2:$C$251,0))</f>
        <v>Margaret Wright</v>
      </c>
      <c r="C110" s="38">
        <f>SUMIFS('Raw Data'!$N$2:$N$251,'Raw Data'!$C$2:$C$251,A110)</f>
        <v>2099.88</v>
      </c>
      <c r="D110" s="41">
        <f>COUNTIFS('Raw Data'!$C$2:$C$251,A110)</f>
        <v>4</v>
      </c>
      <c r="E110" s="38">
        <f t="shared" si="7"/>
        <v>524.97</v>
      </c>
      <c r="F110" s="41">
        <f t="shared" si="8"/>
        <v>35</v>
      </c>
      <c r="G110" s="49" t="str">
        <f t="shared" si="9"/>
        <v>Regular</v>
      </c>
      <c r="H110" s="49" t="str">
        <f t="shared" si="10"/>
        <v>Repeat</v>
      </c>
      <c r="I110" s="49" t="str">
        <f t="shared" si="11"/>
        <v>MW</v>
      </c>
      <c r="J110" s="49" t="str">
        <f t="shared" si="12"/>
        <v>MAR-020</v>
      </c>
      <c r="K110" s="17" t="str">
        <f>IF(COUNTIFS('Raw Data'!$C$2:$C$251,A110,'Raw Data'!$G$2:$G$251,"Electronics")&gt;0,B110,"")</f>
        <v>Margaret Wright</v>
      </c>
      <c r="L110" s="17" t="str">
        <f>IF(COUNTIFS('Raw Data'!$C$2:$C$251,A110,'Raw Data'!$G$2:$G$251,"Furniture")&gt;0,B110,"")</f>
        <v>Margaret Wright</v>
      </c>
      <c r="M110" s="17" t="str">
        <f t="shared" si="13"/>
        <v>Margaret Wright</v>
      </c>
      <c r="N110" s="50">
        <f t="shared" si="14"/>
        <v>2099.8801100000001</v>
      </c>
    </row>
    <row r="111" spans="1:14" x14ac:dyDescent="0.35">
      <c r="A111" s="37" t="s">
        <v>32</v>
      </c>
      <c r="B111" s="17" t="str">
        <f>INDEX('Raw Data'!$D$2:$D$251,MATCH(A111,'Raw Data'!$C$2:$C$251,0))</f>
        <v>Kevin Scott</v>
      </c>
      <c r="C111" s="38">
        <f>SUMIFS('Raw Data'!$N$2:$N$251,'Raw Data'!$C$2:$C$251,A111)</f>
        <v>3259.87</v>
      </c>
      <c r="D111" s="41">
        <f>COUNTIFS('Raw Data'!$C$2:$C$251,A111)</f>
        <v>6</v>
      </c>
      <c r="E111" s="38">
        <f t="shared" si="7"/>
        <v>543.31166666666661</v>
      </c>
      <c r="F111" s="41">
        <f t="shared" si="8"/>
        <v>33</v>
      </c>
      <c r="G111" s="49" t="str">
        <f t="shared" si="9"/>
        <v>Regular</v>
      </c>
      <c r="H111" s="49" t="str">
        <f t="shared" si="10"/>
        <v>Repeat</v>
      </c>
      <c r="I111" s="49" t="str">
        <f t="shared" si="11"/>
        <v>KS</v>
      </c>
      <c r="J111" s="49" t="str">
        <f t="shared" si="12"/>
        <v>KEV-021</v>
      </c>
      <c r="K111" s="17" t="str">
        <f>IF(COUNTIFS('Raw Data'!$C$2:$C$251,A111,'Raw Data'!$G$2:$G$251,"Electronics")&gt;0,B111,"")</f>
        <v>Kevin Scott</v>
      </c>
      <c r="L111" s="17" t="str">
        <f>IF(COUNTIFS('Raw Data'!$C$2:$C$251,A111,'Raw Data'!$G$2:$G$251,"Furniture")&gt;0,B111,"")</f>
        <v>Kevin Scott</v>
      </c>
      <c r="M111" s="17" t="str">
        <f t="shared" si="13"/>
        <v>Kevin Scott</v>
      </c>
      <c r="N111" s="50">
        <f t="shared" si="14"/>
        <v>3259.8701109999997</v>
      </c>
    </row>
    <row r="112" spans="1:14" x14ac:dyDescent="0.35">
      <c r="A112" s="37" t="s">
        <v>71</v>
      </c>
      <c r="B112" s="17" t="str">
        <f>INDEX('Raw Data'!$D$2:$D$251,MATCH(A112,'Raw Data'!$C$2:$C$251,0))</f>
        <v>Susan Green</v>
      </c>
      <c r="C112" s="38">
        <f>SUMIFS('Raw Data'!$N$2:$N$251,'Raw Data'!$C$2:$C$251,A112)</f>
        <v>1979.89</v>
      </c>
      <c r="D112" s="41">
        <f>COUNTIFS('Raw Data'!$C$2:$C$251,A112)</f>
        <v>4</v>
      </c>
      <c r="E112" s="38">
        <f t="shared" si="7"/>
        <v>494.97250000000003</v>
      </c>
      <c r="F112" s="41">
        <f t="shared" si="8"/>
        <v>37</v>
      </c>
      <c r="G112" s="49" t="str">
        <f t="shared" si="9"/>
        <v>Regular</v>
      </c>
      <c r="H112" s="49" t="str">
        <f t="shared" si="10"/>
        <v>Repeat</v>
      </c>
      <c r="I112" s="49" t="str">
        <f t="shared" si="11"/>
        <v>SG</v>
      </c>
      <c r="J112" s="49" t="str">
        <f t="shared" si="12"/>
        <v>SUS-022</v>
      </c>
      <c r="K112" s="17" t="str">
        <f>IF(COUNTIFS('Raw Data'!$C$2:$C$251,A112,'Raw Data'!$G$2:$G$251,"Electronics")&gt;0,B112,"")</f>
        <v>Susan Green</v>
      </c>
      <c r="L112" s="17" t="str">
        <f>IF(COUNTIFS('Raw Data'!$C$2:$C$251,A112,'Raw Data'!$G$2:$G$251,"Furniture")&gt;0,B112,"")</f>
        <v>Susan Green</v>
      </c>
      <c r="M112" s="17" t="str">
        <f t="shared" si="13"/>
        <v>Susan Green</v>
      </c>
      <c r="N112" s="50">
        <f t="shared" si="14"/>
        <v>1979.890112</v>
      </c>
    </row>
    <row r="113" spans="1:14" x14ac:dyDescent="0.35">
      <c r="A113" s="37" t="s">
        <v>18</v>
      </c>
      <c r="B113" s="17" t="str">
        <f>INDEX('Raw Data'!$D$2:$D$251,MATCH(A113,'Raw Data'!$C$2:$C$251,0))</f>
        <v>Paul Baker</v>
      </c>
      <c r="C113" s="38">
        <f>SUMIFS('Raw Data'!$N$2:$N$251,'Raw Data'!$C$2:$C$251,A113)</f>
        <v>8309.739999999998</v>
      </c>
      <c r="D113" s="41">
        <f>COUNTIFS('Raw Data'!$C$2:$C$251,A113)</f>
        <v>8</v>
      </c>
      <c r="E113" s="38">
        <f t="shared" si="7"/>
        <v>1038.7174999999997</v>
      </c>
      <c r="F113" s="41">
        <f t="shared" si="8"/>
        <v>5</v>
      </c>
      <c r="G113" s="49" t="str">
        <f t="shared" si="9"/>
        <v>High Value</v>
      </c>
      <c r="H113" s="49" t="str">
        <f t="shared" si="10"/>
        <v>Repeat</v>
      </c>
      <c r="I113" s="49" t="str">
        <f t="shared" si="11"/>
        <v>PB</v>
      </c>
      <c r="J113" s="49" t="str">
        <f t="shared" si="12"/>
        <v>PAU-023</v>
      </c>
      <c r="K113" s="17" t="str">
        <f>IF(COUNTIFS('Raw Data'!$C$2:$C$251,A113,'Raw Data'!$G$2:$G$251,"Electronics")&gt;0,B113,"")</f>
        <v>Paul Baker</v>
      </c>
      <c r="L113" s="17" t="str">
        <f>IF(COUNTIFS('Raw Data'!$C$2:$C$251,A113,'Raw Data'!$G$2:$G$251,"Furniture")&gt;0,B113,"")</f>
        <v>Paul Baker</v>
      </c>
      <c r="M113" s="17" t="str">
        <f t="shared" si="13"/>
        <v>Paul Baker</v>
      </c>
      <c r="N113" s="50">
        <f t="shared" si="14"/>
        <v>8309.740112999998</v>
      </c>
    </row>
    <row r="114" spans="1:14" x14ac:dyDescent="0.35">
      <c r="A114" s="37" t="s">
        <v>51</v>
      </c>
      <c r="B114" s="17" t="str">
        <f>INDEX('Raw Data'!$D$2:$D$251,MATCH(A114,'Raw Data'!$C$2:$C$251,0))</f>
        <v>Dorothy Nelson</v>
      </c>
      <c r="C114" s="38">
        <f>SUMIFS('Raw Data'!$N$2:$N$251,'Raw Data'!$C$2:$C$251,A114)</f>
        <v>8269.7900000000009</v>
      </c>
      <c r="D114" s="41">
        <f>COUNTIFS('Raw Data'!$C$2:$C$251,A114)</f>
        <v>6</v>
      </c>
      <c r="E114" s="38">
        <f t="shared" si="7"/>
        <v>1378.2983333333334</v>
      </c>
      <c r="F114" s="41">
        <f t="shared" si="8"/>
        <v>6</v>
      </c>
      <c r="G114" s="49" t="str">
        <f t="shared" si="9"/>
        <v>High Value</v>
      </c>
      <c r="H114" s="49" t="str">
        <f t="shared" si="10"/>
        <v>Repeat</v>
      </c>
      <c r="I114" s="49" t="str">
        <f t="shared" si="11"/>
        <v>DN</v>
      </c>
      <c r="J114" s="49" t="str">
        <f t="shared" si="12"/>
        <v>DOR-024</v>
      </c>
      <c r="K114" s="17" t="str">
        <f>IF(COUNTIFS('Raw Data'!$C$2:$C$251,A114,'Raw Data'!$G$2:$G$251,"Electronics")&gt;0,B114,"")</f>
        <v>Dorothy Nelson</v>
      </c>
      <c r="L114" s="17" t="str">
        <f>IF(COUNTIFS('Raw Data'!$C$2:$C$251,A114,'Raw Data'!$G$2:$G$251,"Furniture")&gt;0,B114,"")</f>
        <v>Dorothy Nelson</v>
      </c>
      <c r="M114" s="17" t="str">
        <f t="shared" si="13"/>
        <v>Dorothy Nelson</v>
      </c>
      <c r="N114" s="50">
        <f t="shared" si="14"/>
        <v>8269.7901140000013</v>
      </c>
    </row>
    <row r="115" spans="1:14" x14ac:dyDescent="0.35">
      <c r="A115" s="37" t="s">
        <v>89</v>
      </c>
      <c r="B115" s="17" t="str">
        <f>INDEX('Raw Data'!$D$2:$D$251,MATCH(A115,'Raw Data'!$C$2:$C$251,0))</f>
        <v>Mark Carter</v>
      </c>
      <c r="C115" s="38">
        <f>SUMIFS('Raw Data'!$N$2:$N$251,'Raw Data'!$C$2:$C$251,A115)</f>
        <v>15659.65</v>
      </c>
      <c r="D115" s="41">
        <f>COUNTIFS('Raw Data'!$C$2:$C$251,A115)</f>
        <v>12</v>
      </c>
      <c r="E115" s="38">
        <f t="shared" si="7"/>
        <v>1304.9708333333333</v>
      </c>
      <c r="F115" s="41">
        <f t="shared" si="8"/>
        <v>1</v>
      </c>
      <c r="G115" s="49" t="str">
        <f t="shared" si="9"/>
        <v>High Value</v>
      </c>
      <c r="H115" s="49" t="str">
        <f t="shared" si="10"/>
        <v>Repeat</v>
      </c>
      <c r="I115" s="49" t="str">
        <f t="shared" si="11"/>
        <v>MC</v>
      </c>
      <c r="J115" s="49" t="str">
        <f t="shared" si="12"/>
        <v>MAR-025</v>
      </c>
      <c r="K115" s="17" t="str">
        <f>IF(COUNTIFS('Raw Data'!$C$2:$C$251,A115,'Raw Data'!$G$2:$G$251,"Electronics")&gt;0,B115,"")</f>
        <v>Mark Carter</v>
      </c>
      <c r="L115" s="17" t="str">
        <f>IF(COUNTIFS('Raw Data'!$C$2:$C$251,A115,'Raw Data'!$G$2:$G$251,"Furniture")&gt;0,B115,"")</f>
        <v>Mark Carter</v>
      </c>
      <c r="M115" s="17" t="str">
        <f t="shared" si="13"/>
        <v>Mark Carter</v>
      </c>
      <c r="N115" s="50">
        <f t="shared" si="14"/>
        <v>15659.650115</v>
      </c>
    </row>
    <row r="116" spans="1:14" x14ac:dyDescent="0.35">
      <c r="A116" s="37" t="s">
        <v>68</v>
      </c>
      <c r="B116" s="17" t="str">
        <f>INDEX('Raw Data'!$D$2:$D$251,MATCH(A116,'Raw Data'!$C$2:$C$251,0))</f>
        <v>Karen Hill</v>
      </c>
      <c r="C116" s="38">
        <f>SUMIFS('Raw Data'!$N$2:$N$251,'Raw Data'!$C$2:$C$251,A116)</f>
        <v>8009.7699999999995</v>
      </c>
      <c r="D116" s="41">
        <f>COUNTIFS('Raw Data'!$C$2:$C$251,A116)</f>
        <v>8</v>
      </c>
      <c r="E116" s="38">
        <f t="shared" si="7"/>
        <v>1001.2212499999999</v>
      </c>
      <c r="F116" s="41">
        <f t="shared" si="8"/>
        <v>7</v>
      </c>
      <c r="G116" s="49" t="str">
        <f t="shared" si="9"/>
        <v>High Value</v>
      </c>
      <c r="H116" s="49" t="str">
        <f t="shared" si="10"/>
        <v>Repeat</v>
      </c>
      <c r="I116" s="49" t="str">
        <f t="shared" si="11"/>
        <v>KH</v>
      </c>
      <c r="J116" s="49" t="str">
        <f t="shared" si="12"/>
        <v>KAR-026</v>
      </c>
      <c r="K116" s="17" t="str">
        <f>IF(COUNTIFS('Raw Data'!$C$2:$C$251,A116,'Raw Data'!$G$2:$G$251,"Electronics")&gt;0,B116,"")</f>
        <v>Karen Hill</v>
      </c>
      <c r="L116" s="17" t="str">
        <f>IF(COUNTIFS('Raw Data'!$C$2:$C$251,A116,'Raw Data'!$G$2:$G$251,"Furniture")&gt;0,B116,"")</f>
        <v>Karen Hill</v>
      </c>
      <c r="M116" s="17" t="str">
        <f t="shared" si="13"/>
        <v>Karen Hill</v>
      </c>
      <c r="N116" s="50">
        <f t="shared" si="14"/>
        <v>8009.7701159999997</v>
      </c>
    </row>
    <row r="117" spans="1:14" x14ac:dyDescent="0.35">
      <c r="A117" s="37" t="s">
        <v>86</v>
      </c>
      <c r="B117" s="17" t="str">
        <f>INDEX('Raw Data'!$D$2:$D$251,MATCH(A117,'Raw Data'!$C$2:$C$251,0))</f>
        <v>George Adams</v>
      </c>
      <c r="C117" s="38">
        <f>SUMIFS('Raw Data'!$N$2:$N$251,'Raw Data'!$C$2:$C$251,A117)</f>
        <v>3779.93</v>
      </c>
      <c r="D117" s="41">
        <f>COUNTIFS('Raw Data'!$C$2:$C$251,A117)</f>
        <v>3</v>
      </c>
      <c r="E117" s="38">
        <f t="shared" si="7"/>
        <v>1259.9766666666667</v>
      </c>
      <c r="F117" s="41">
        <f t="shared" si="8"/>
        <v>28</v>
      </c>
      <c r="G117" s="49" t="str">
        <f t="shared" si="9"/>
        <v>Regular</v>
      </c>
      <c r="H117" s="49" t="str">
        <f t="shared" si="10"/>
        <v>Repeat</v>
      </c>
      <c r="I117" s="49" t="str">
        <f t="shared" si="11"/>
        <v>GA</v>
      </c>
      <c r="J117" s="49" t="str">
        <f t="shared" si="12"/>
        <v>GEO-027</v>
      </c>
      <c r="K117" s="17" t="str">
        <f>IF(COUNTIFS('Raw Data'!$C$2:$C$251,A117,'Raw Data'!$G$2:$G$251,"Electronics")&gt;0,B117,"")</f>
        <v>George Adams</v>
      </c>
      <c r="L117" s="17" t="str">
        <f>IF(COUNTIFS('Raw Data'!$C$2:$C$251,A117,'Raw Data'!$G$2:$G$251,"Furniture")&gt;0,B117,"")</f>
        <v/>
      </c>
      <c r="M117" s="17" t="str">
        <f t="shared" si="13"/>
        <v/>
      </c>
      <c r="N117" s="50">
        <f t="shared" si="14"/>
        <v>3779.9301169999999</v>
      </c>
    </row>
    <row r="118" spans="1:14" x14ac:dyDescent="0.35">
      <c r="A118" s="37" t="s">
        <v>161</v>
      </c>
      <c r="B118" s="17" t="str">
        <f>INDEX('Raw Data'!$D$2:$D$251,MATCH(A118,'Raw Data'!$C$2:$C$251,0))</f>
        <v>Betty Campbell</v>
      </c>
      <c r="C118" s="38">
        <f>SUMIFS('Raw Data'!$N$2:$N$251,'Raw Data'!$C$2:$C$251,A118)</f>
        <v>5649.84</v>
      </c>
      <c r="D118" s="41">
        <f>COUNTIFS('Raw Data'!$C$2:$C$251,A118)</f>
        <v>5</v>
      </c>
      <c r="E118" s="38">
        <f t="shared" si="7"/>
        <v>1129.9680000000001</v>
      </c>
      <c r="F118" s="41">
        <f t="shared" si="8"/>
        <v>16</v>
      </c>
      <c r="G118" s="49" t="str">
        <f t="shared" si="9"/>
        <v>Mid Value</v>
      </c>
      <c r="H118" s="49" t="str">
        <f t="shared" si="10"/>
        <v>Repeat</v>
      </c>
      <c r="I118" s="49" t="str">
        <f t="shared" si="11"/>
        <v>BC</v>
      </c>
      <c r="J118" s="49" t="str">
        <f t="shared" si="12"/>
        <v>BET-028</v>
      </c>
      <c r="K118" s="17" t="str">
        <f>IF(COUNTIFS('Raw Data'!$C$2:$C$251,A118,'Raw Data'!$G$2:$G$251,"Electronics")&gt;0,B118,"")</f>
        <v>Betty Campbell</v>
      </c>
      <c r="L118" s="17" t="str">
        <f>IF(COUNTIFS('Raw Data'!$C$2:$C$251,A118,'Raw Data'!$G$2:$G$251,"Furniture")&gt;0,B118,"")</f>
        <v>Betty Campbell</v>
      </c>
      <c r="M118" s="17" t="str">
        <f t="shared" si="13"/>
        <v>Betty Campbell</v>
      </c>
      <c r="N118" s="50">
        <f t="shared" si="14"/>
        <v>5649.8401180000001</v>
      </c>
    </row>
    <row r="119" spans="1:14" x14ac:dyDescent="0.35">
      <c r="A119" s="37" t="s">
        <v>126</v>
      </c>
      <c r="B119" s="17" t="str">
        <f>INDEX('Raw Data'!$D$2:$D$251,MATCH(A119,'Raw Data'!$C$2:$C$251,0))</f>
        <v>Edward Mitchell</v>
      </c>
      <c r="C119" s="38">
        <f>SUMIFS('Raw Data'!$N$2:$N$251,'Raw Data'!$C$2:$C$251,A119)</f>
        <v>11919.769999999999</v>
      </c>
      <c r="D119" s="41">
        <f>COUNTIFS('Raw Data'!$C$2:$C$251,A119)</f>
        <v>6</v>
      </c>
      <c r="E119" s="38">
        <f t="shared" si="7"/>
        <v>1986.6283333333331</v>
      </c>
      <c r="F119" s="41">
        <f t="shared" si="8"/>
        <v>2</v>
      </c>
      <c r="G119" s="49" t="str">
        <f t="shared" si="9"/>
        <v>High Value</v>
      </c>
      <c r="H119" s="49" t="str">
        <f t="shared" si="10"/>
        <v>Repeat</v>
      </c>
      <c r="I119" s="49" t="str">
        <f t="shared" si="11"/>
        <v>EM</v>
      </c>
      <c r="J119" s="49" t="str">
        <f t="shared" si="12"/>
        <v>EDW-029</v>
      </c>
      <c r="K119" s="17" t="str">
        <f>IF(COUNTIFS('Raw Data'!$C$2:$C$251,A119,'Raw Data'!$G$2:$G$251,"Electronics")&gt;0,B119,"")</f>
        <v>Edward Mitchell</v>
      </c>
      <c r="L119" s="17" t="str">
        <f>IF(COUNTIFS('Raw Data'!$C$2:$C$251,A119,'Raw Data'!$G$2:$G$251,"Furniture")&gt;0,B119,"")</f>
        <v>Edward Mitchell</v>
      </c>
      <c r="M119" s="17" t="str">
        <f t="shared" si="13"/>
        <v>Edward Mitchell</v>
      </c>
      <c r="N119" s="50">
        <f t="shared" si="14"/>
        <v>11919.770118999999</v>
      </c>
    </row>
    <row r="120" spans="1:14" x14ac:dyDescent="0.35">
      <c r="A120" s="37" t="s">
        <v>123</v>
      </c>
      <c r="B120" s="17" t="str">
        <f>INDEX('Raw Data'!$D$2:$D$251,MATCH(A120,'Raw Data'!$C$2:$C$251,0))</f>
        <v>Helen Roberts</v>
      </c>
      <c r="C120" s="38">
        <f>SUMIFS('Raw Data'!$N$2:$N$251,'Raw Data'!$C$2:$C$251,A120)</f>
        <v>6459.79</v>
      </c>
      <c r="D120" s="41">
        <f>COUNTIFS('Raw Data'!$C$2:$C$251,A120)</f>
        <v>7</v>
      </c>
      <c r="E120" s="38">
        <f t="shared" si="7"/>
        <v>922.8271428571428</v>
      </c>
      <c r="F120" s="41">
        <f t="shared" si="8"/>
        <v>11</v>
      </c>
      <c r="G120" s="49" t="str">
        <f t="shared" si="9"/>
        <v>Mid Value</v>
      </c>
      <c r="H120" s="49" t="str">
        <f t="shared" si="10"/>
        <v>Repeat</v>
      </c>
      <c r="I120" s="49" t="str">
        <f t="shared" si="11"/>
        <v>HR</v>
      </c>
      <c r="J120" s="49" t="str">
        <f t="shared" si="12"/>
        <v>HEL-030</v>
      </c>
      <c r="K120" s="17" t="str">
        <f>IF(COUNTIFS('Raw Data'!$C$2:$C$251,A120,'Raw Data'!$G$2:$G$251,"Electronics")&gt;0,B120,"")</f>
        <v>Helen Roberts</v>
      </c>
      <c r="L120" s="17" t="str">
        <f>IF(COUNTIFS('Raw Data'!$C$2:$C$251,A120,'Raw Data'!$G$2:$G$251,"Furniture")&gt;0,B120,"")</f>
        <v>Helen Roberts</v>
      </c>
      <c r="M120" s="17" t="str">
        <f t="shared" si="13"/>
        <v>Helen Roberts</v>
      </c>
      <c r="N120" s="50">
        <f t="shared" si="14"/>
        <v>6459.7901199999997</v>
      </c>
    </row>
    <row r="121" spans="1:14" x14ac:dyDescent="0.35">
      <c r="A121" s="37" t="s">
        <v>141</v>
      </c>
      <c r="B121" s="17" t="str">
        <f>INDEX('Raw Data'!$D$2:$D$251,MATCH(A121,'Raw Data'!$C$2:$C$251,0))</f>
        <v>Steven Turner</v>
      </c>
      <c r="C121" s="38">
        <f>SUMIFS('Raw Data'!$N$2:$N$251,'Raw Data'!$C$2:$C$251,A121)</f>
        <v>2649.83</v>
      </c>
      <c r="D121" s="41">
        <f>COUNTIFS('Raw Data'!$C$2:$C$251,A121)</f>
        <v>6</v>
      </c>
      <c r="E121" s="38">
        <f t="shared" si="7"/>
        <v>441.63833333333332</v>
      </c>
      <c r="F121" s="41">
        <f t="shared" si="8"/>
        <v>34</v>
      </c>
      <c r="G121" s="49" t="str">
        <f t="shared" si="9"/>
        <v>Regular</v>
      </c>
      <c r="H121" s="49" t="str">
        <f t="shared" si="10"/>
        <v>Repeat</v>
      </c>
      <c r="I121" s="49" t="str">
        <f t="shared" si="11"/>
        <v>ST</v>
      </c>
      <c r="J121" s="49" t="str">
        <f t="shared" si="12"/>
        <v>STE-031</v>
      </c>
      <c r="K121" s="17" t="str">
        <f>IF(COUNTIFS('Raw Data'!$C$2:$C$251,A121,'Raw Data'!$G$2:$G$251,"Electronics")&gt;0,B121,"")</f>
        <v>Steven Turner</v>
      </c>
      <c r="L121" s="17" t="str">
        <f>IF(COUNTIFS('Raw Data'!$C$2:$C$251,A121,'Raw Data'!$G$2:$G$251,"Furniture")&gt;0,B121,"")</f>
        <v>Steven Turner</v>
      </c>
      <c r="M121" s="17" t="str">
        <f t="shared" si="13"/>
        <v>Steven Turner</v>
      </c>
      <c r="N121" s="50">
        <f t="shared" si="14"/>
        <v>2649.830121</v>
      </c>
    </row>
    <row r="122" spans="1:14" x14ac:dyDescent="0.35">
      <c r="A122" s="37" t="s">
        <v>237</v>
      </c>
      <c r="B122" s="17" t="str">
        <f>INDEX('Raw Data'!$D$2:$D$251,MATCH(A122,'Raw Data'!$C$2:$C$251,0))</f>
        <v>Sandra Phillips</v>
      </c>
      <c r="C122" s="38">
        <f>SUMIFS('Raw Data'!$N$2:$N$251,'Raw Data'!$C$2:$C$251,A122)</f>
        <v>6349.83</v>
      </c>
      <c r="D122" s="41">
        <f>COUNTIFS('Raw Data'!$C$2:$C$251,A122)</f>
        <v>5</v>
      </c>
      <c r="E122" s="38">
        <f t="shared" si="7"/>
        <v>1269.9659999999999</v>
      </c>
      <c r="F122" s="41">
        <f t="shared" si="8"/>
        <v>13</v>
      </c>
      <c r="G122" s="49" t="str">
        <f t="shared" si="9"/>
        <v>Mid Value</v>
      </c>
      <c r="H122" s="49" t="str">
        <f t="shared" si="10"/>
        <v>Repeat</v>
      </c>
      <c r="I122" s="49" t="str">
        <f t="shared" si="11"/>
        <v>SP</v>
      </c>
      <c r="J122" s="49" t="str">
        <f t="shared" si="12"/>
        <v>SAN-032</v>
      </c>
      <c r="K122" s="17" t="str">
        <f>IF(COUNTIFS('Raw Data'!$C$2:$C$251,A122,'Raw Data'!$G$2:$G$251,"Electronics")&gt;0,B122,"")</f>
        <v>Sandra Phillips</v>
      </c>
      <c r="L122" s="17" t="str">
        <f>IF(COUNTIFS('Raw Data'!$C$2:$C$251,A122,'Raw Data'!$G$2:$G$251,"Furniture")&gt;0,B122,"")</f>
        <v>Sandra Phillips</v>
      </c>
      <c r="M122" s="17" t="str">
        <f t="shared" si="13"/>
        <v>Sandra Phillips</v>
      </c>
      <c r="N122" s="50">
        <f t="shared" si="14"/>
        <v>6349.8301220000003</v>
      </c>
    </row>
    <row r="123" spans="1:14" x14ac:dyDescent="0.35">
      <c r="A123" s="37" t="s">
        <v>195</v>
      </c>
      <c r="B123" s="17" t="str">
        <f>INDEX('Raw Data'!$D$2:$D$251,MATCH(A123,'Raw Data'!$C$2:$C$251,0))</f>
        <v>Frank Torres</v>
      </c>
      <c r="C123" s="38">
        <f>SUMIFS('Raw Data'!$N$2:$N$251,'Raw Data'!$C$2:$C$251,A123)</f>
        <v>1479.91</v>
      </c>
      <c r="D123" s="41">
        <f>COUNTIFS('Raw Data'!$C$2:$C$251,A123)</f>
        <v>5</v>
      </c>
      <c r="E123" s="38">
        <f t="shared" ref="E123:E154" si="15">C123/D123</f>
        <v>295.98200000000003</v>
      </c>
      <c r="F123" s="41">
        <f t="shared" ref="F123:F140" si="16">RANK(N123,$N$91:$N$140)</f>
        <v>42</v>
      </c>
      <c r="G123" s="49" t="str">
        <f t="shared" ref="G123:G154" si="17">IF(F123&lt;=10,"High Value",IF(F123&lt;=25,"Mid Value","Regular"))</f>
        <v>Regular</v>
      </c>
      <c r="H123" s="49" t="str">
        <f t="shared" ref="H123:H140" si="18">IF(D123&gt;1,"Repeat","One-time")</f>
        <v>Repeat</v>
      </c>
      <c r="I123" s="49" t="str">
        <f t="shared" ref="I123:I140" si="19">UPPER(LEFT(B123,1)&amp;MID(B123,FIND(" ",B123)+1,1))</f>
        <v>FT</v>
      </c>
      <c r="J123" s="49" t="str">
        <f t="shared" ref="J123:J140" si="20">UPPER(LEFT(B123,3))&amp;"-"&amp;RIGHT(A123,3)</f>
        <v>FRA-033</v>
      </c>
      <c r="K123" s="17" t="str">
        <f>IF(COUNTIFS('Raw Data'!$C$2:$C$251,A123,'Raw Data'!$G$2:$G$251,"Electronics")&gt;0,B123,"")</f>
        <v/>
      </c>
      <c r="L123" s="17" t="str">
        <f>IF(COUNTIFS('Raw Data'!$C$2:$C$251,A123,'Raw Data'!$G$2:$G$251,"Furniture")&gt;0,B123,"")</f>
        <v>Frank Torres</v>
      </c>
      <c r="M123" s="17" t="str">
        <f t="shared" ref="M123:M140" si="21">IF(K123="","",IFERROR(INDEX($L$91:$L$140,MATCH(K123,$L$91:$L$140,0)),""))</f>
        <v/>
      </c>
      <c r="N123" s="50">
        <f t="shared" ref="N123:N140" si="22">C123+ROW()/1000000</f>
        <v>1479.9101230000001</v>
      </c>
    </row>
    <row r="124" spans="1:14" x14ac:dyDescent="0.35">
      <c r="A124" s="37" t="s">
        <v>234</v>
      </c>
      <c r="B124" s="17" t="str">
        <f>INDEX('Raw Data'!$D$2:$D$251,MATCH(A124,'Raw Data'!$C$2:$C$251,0))</f>
        <v>Carol Evans</v>
      </c>
      <c r="C124" s="38">
        <f>SUMIFS('Raw Data'!$N$2:$N$251,'Raw Data'!$C$2:$C$251,A124)</f>
        <v>1149.93</v>
      </c>
      <c r="D124" s="41">
        <f>COUNTIFS('Raw Data'!$C$2:$C$251,A124)</f>
        <v>3</v>
      </c>
      <c r="E124" s="38">
        <f t="shared" si="15"/>
        <v>383.31</v>
      </c>
      <c r="F124" s="41">
        <f t="shared" si="16"/>
        <v>45</v>
      </c>
      <c r="G124" s="49" t="str">
        <f t="shared" si="17"/>
        <v>Regular</v>
      </c>
      <c r="H124" s="49" t="str">
        <f t="shared" si="18"/>
        <v>Repeat</v>
      </c>
      <c r="I124" s="49" t="str">
        <f t="shared" si="19"/>
        <v>CE</v>
      </c>
      <c r="J124" s="49" t="str">
        <f t="shared" si="20"/>
        <v>CAR-034</v>
      </c>
      <c r="K124" s="17" t="str">
        <f>IF(COUNTIFS('Raw Data'!$C$2:$C$251,A124,'Raw Data'!$G$2:$G$251,"Electronics")&gt;0,B124,"")</f>
        <v>Carol Evans</v>
      </c>
      <c r="L124" s="17" t="str">
        <f>IF(COUNTIFS('Raw Data'!$C$2:$C$251,A124,'Raw Data'!$G$2:$G$251,"Furniture")&gt;0,B124,"")</f>
        <v>Carol Evans</v>
      </c>
      <c r="M124" s="17" t="str">
        <f t="shared" si="21"/>
        <v>Carol Evans</v>
      </c>
      <c r="N124" s="50">
        <f t="shared" si="22"/>
        <v>1149.930124</v>
      </c>
    </row>
    <row r="125" spans="1:14" x14ac:dyDescent="0.35">
      <c r="A125" s="37" t="s">
        <v>147</v>
      </c>
      <c r="B125" s="17" t="str">
        <f>INDEX('Raw Data'!$D$2:$D$251,MATCH(A125,'Raw Data'!$C$2:$C$251,0))</f>
        <v>Harry Morgan</v>
      </c>
      <c r="C125" s="38">
        <f>SUMIFS('Raw Data'!$N$2:$N$251,'Raw Data'!$C$2:$C$251,A125)</f>
        <v>5519.8899999999994</v>
      </c>
      <c r="D125" s="41">
        <f>COUNTIFS('Raw Data'!$C$2:$C$251,A125)</f>
        <v>4</v>
      </c>
      <c r="E125" s="38">
        <f t="shared" si="15"/>
        <v>1379.9724999999999</v>
      </c>
      <c r="F125" s="41">
        <f t="shared" si="16"/>
        <v>18</v>
      </c>
      <c r="G125" s="49" t="str">
        <f t="shared" si="17"/>
        <v>Mid Value</v>
      </c>
      <c r="H125" s="49" t="str">
        <f t="shared" si="18"/>
        <v>Repeat</v>
      </c>
      <c r="I125" s="49" t="str">
        <f t="shared" si="19"/>
        <v>HM</v>
      </c>
      <c r="J125" s="49" t="str">
        <f t="shared" si="20"/>
        <v>HAR-035</v>
      </c>
      <c r="K125" s="17" t="str">
        <f>IF(COUNTIFS('Raw Data'!$C$2:$C$251,A125,'Raw Data'!$G$2:$G$251,"Electronics")&gt;0,B125,"")</f>
        <v>Harry Morgan</v>
      </c>
      <c r="L125" s="17" t="str">
        <f>IF(COUNTIFS('Raw Data'!$C$2:$C$251,A125,'Raw Data'!$G$2:$G$251,"Furniture")&gt;0,B125,"")</f>
        <v/>
      </c>
      <c r="M125" s="17" t="str">
        <f t="shared" si="21"/>
        <v/>
      </c>
      <c r="N125" s="50">
        <f t="shared" si="22"/>
        <v>5519.890124999999</v>
      </c>
    </row>
    <row r="126" spans="1:14" x14ac:dyDescent="0.35">
      <c r="A126" s="37" t="s">
        <v>111</v>
      </c>
      <c r="B126" s="17" t="str">
        <f>INDEX('Raw Data'!$D$2:$D$251,MATCH(A126,'Raw Data'!$C$2:$C$251,0))</f>
        <v>Nancy Collins</v>
      </c>
      <c r="C126" s="38">
        <f>SUMIFS('Raw Data'!$N$2:$N$251,'Raw Data'!$C$2:$C$251,A126)</f>
        <v>4189.7700000000004</v>
      </c>
      <c r="D126" s="41">
        <f>COUNTIFS('Raw Data'!$C$2:$C$251,A126)</f>
        <v>6</v>
      </c>
      <c r="E126" s="38">
        <f t="shared" si="15"/>
        <v>698.29500000000007</v>
      </c>
      <c r="F126" s="41">
        <f t="shared" si="16"/>
        <v>27</v>
      </c>
      <c r="G126" s="49" t="str">
        <f t="shared" si="17"/>
        <v>Regular</v>
      </c>
      <c r="H126" s="49" t="str">
        <f t="shared" si="18"/>
        <v>Repeat</v>
      </c>
      <c r="I126" s="49" t="str">
        <f t="shared" si="19"/>
        <v>NC</v>
      </c>
      <c r="J126" s="49" t="str">
        <f t="shared" si="20"/>
        <v>NAN-036</v>
      </c>
      <c r="K126" s="17" t="str">
        <f>IF(COUNTIFS('Raw Data'!$C$2:$C$251,A126,'Raw Data'!$G$2:$G$251,"Electronics")&gt;0,B126,"")</f>
        <v>Nancy Collins</v>
      </c>
      <c r="L126" s="17" t="str">
        <f>IF(COUNTIFS('Raw Data'!$C$2:$C$251,A126,'Raw Data'!$G$2:$G$251,"Furniture")&gt;0,B126,"")</f>
        <v>Nancy Collins</v>
      </c>
      <c r="M126" s="17" t="str">
        <f t="shared" si="21"/>
        <v>Nancy Collins</v>
      </c>
      <c r="N126" s="50">
        <f t="shared" si="22"/>
        <v>4189.7701260000003</v>
      </c>
    </row>
    <row r="127" spans="1:14" x14ac:dyDescent="0.35">
      <c r="A127" s="37" t="s">
        <v>328</v>
      </c>
      <c r="B127" s="17" t="str">
        <f>INDEX('Raw Data'!$D$2:$D$251,MATCH(A127,'Raw Data'!$C$2:$C$251,0))</f>
        <v>Arthur Edwards</v>
      </c>
      <c r="C127" s="38">
        <f>SUMIFS('Raw Data'!$N$2:$N$251,'Raw Data'!$C$2:$C$251,A127)</f>
        <v>1559.94</v>
      </c>
      <c r="D127" s="41">
        <f>COUNTIFS('Raw Data'!$C$2:$C$251,A127)</f>
        <v>3</v>
      </c>
      <c r="E127" s="38">
        <f t="shared" si="15"/>
        <v>519.98</v>
      </c>
      <c r="F127" s="41">
        <f t="shared" si="16"/>
        <v>41</v>
      </c>
      <c r="G127" s="49" t="str">
        <f t="shared" si="17"/>
        <v>Regular</v>
      </c>
      <c r="H127" s="49" t="str">
        <f t="shared" si="18"/>
        <v>Repeat</v>
      </c>
      <c r="I127" s="49" t="str">
        <f t="shared" si="19"/>
        <v>AE</v>
      </c>
      <c r="J127" s="49" t="str">
        <f t="shared" si="20"/>
        <v>ART-037</v>
      </c>
      <c r="K127" s="17" t="str">
        <f>IF(COUNTIFS('Raw Data'!$C$2:$C$251,A127,'Raw Data'!$G$2:$G$251,"Electronics")&gt;0,B127,"")</f>
        <v>Arthur Edwards</v>
      </c>
      <c r="L127" s="17" t="str">
        <f>IF(COUNTIFS('Raw Data'!$C$2:$C$251,A127,'Raw Data'!$G$2:$G$251,"Furniture")&gt;0,B127,"")</f>
        <v>Arthur Edwards</v>
      </c>
      <c r="M127" s="17" t="str">
        <f t="shared" si="21"/>
        <v>Arthur Edwards</v>
      </c>
      <c r="N127" s="50">
        <f t="shared" si="22"/>
        <v>1559.9401270000001</v>
      </c>
    </row>
    <row r="128" spans="1:14" x14ac:dyDescent="0.35">
      <c r="A128" s="37" t="s">
        <v>81</v>
      </c>
      <c r="B128" s="17" t="str">
        <f>INDEX('Raw Data'!$D$2:$D$251,MATCH(A128,'Raw Data'!$C$2:$C$251,0))</f>
        <v>Michelle Rogers</v>
      </c>
      <c r="C128" s="38">
        <f>SUMIFS('Raw Data'!$N$2:$N$251,'Raw Data'!$C$2:$C$251,A128)</f>
        <v>4199.9399999999996</v>
      </c>
      <c r="D128" s="41">
        <f>COUNTIFS('Raw Data'!$C$2:$C$251,A128)</f>
        <v>2</v>
      </c>
      <c r="E128" s="38">
        <f t="shared" si="15"/>
        <v>2099.9699999999998</v>
      </c>
      <c r="F128" s="41">
        <f t="shared" si="16"/>
        <v>26</v>
      </c>
      <c r="G128" s="49" t="str">
        <f t="shared" si="17"/>
        <v>Regular</v>
      </c>
      <c r="H128" s="49" t="str">
        <f t="shared" si="18"/>
        <v>Repeat</v>
      </c>
      <c r="I128" s="49" t="str">
        <f t="shared" si="19"/>
        <v>MR</v>
      </c>
      <c r="J128" s="49" t="str">
        <f t="shared" si="20"/>
        <v>MIC-038</v>
      </c>
      <c r="K128" s="17" t="str">
        <f>IF(COUNTIFS('Raw Data'!$C$2:$C$251,A128,'Raw Data'!$G$2:$G$251,"Electronics")&gt;0,B128,"")</f>
        <v>Michelle Rogers</v>
      </c>
      <c r="L128" s="17" t="str">
        <f>IF(COUNTIFS('Raw Data'!$C$2:$C$251,A128,'Raw Data'!$G$2:$G$251,"Furniture")&gt;0,B128,"")</f>
        <v/>
      </c>
      <c r="M128" s="17" t="str">
        <f t="shared" si="21"/>
        <v/>
      </c>
      <c r="N128" s="50">
        <f t="shared" si="22"/>
        <v>4199.9401279999993</v>
      </c>
    </row>
    <row r="129" spans="1:14" x14ac:dyDescent="0.35">
      <c r="A129" s="37" t="s">
        <v>229</v>
      </c>
      <c r="B129" s="17" t="str">
        <f>INDEX('Raw Data'!$D$2:$D$251,MATCH(A129,'Raw Data'!$C$2:$C$251,0))</f>
        <v>Lawrence Reed</v>
      </c>
      <c r="C129" s="38">
        <f>SUMIFS('Raw Data'!$N$2:$N$251,'Raw Data'!$C$2:$C$251,A129)</f>
        <v>6989.7699999999986</v>
      </c>
      <c r="D129" s="41">
        <f>COUNTIFS('Raw Data'!$C$2:$C$251,A129)</f>
        <v>8</v>
      </c>
      <c r="E129" s="38">
        <f t="shared" si="15"/>
        <v>873.72124999999983</v>
      </c>
      <c r="F129" s="41">
        <f t="shared" si="16"/>
        <v>9</v>
      </c>
      <c r="G129" s="49" t="str">
        <f t="shared" si="17"/>
        <v>High Value</v>
      </c>
      <c r="H129" s="49" t="str">
        <f t="shared" si="18"/>
        <v>Repeat</v>
      </c>
      <c r="I129" s="49" t="str">
        <f t="shared" si="19"/>
        <v>LR</v>
      </c>
      <c r="J129" s="49" t="str">
        <f t="shared" si="20"/>
        <v>LAW-039</v>
      </c>
      <c r="K129" s="17" t="str">
        <f>IF(COUNTIFS('Raw Data'!$C$2:$C$251,A129,'Raw Data'!$G$2:$G$251,"Electronics")&gt;0,B129,"")</f>
        <v>Lawrence Reed</v>
      </c>
      <c r="L129" s="17" t="str">
        <f>IF(COUNTIFS('Raw Data'!$C$2:$C$251,A129,'Raw Data'!$G$2:$G$251,"Furniture")&gt;0,B129,"")</f>
        <v>Lawrence Reed</v>
      </c>
      <c r="M129" s="17" t="str">
        <f t="shared" si="21"/>
        <v>Lawrence Reed</v>
      </c>
      <c r="N129" s="50">
        <f t="shared" si="22"/>
        <v>6989.7701289999986</v>
      </c>
    </row>
    <row r="130" spans="1:14" x14ac:dyDescent="0.35">
      <c r="A130" s="37" t="s">
        <v>153</v>
      </c>
      <c r="B130" s="17" t="str">
        <f>INDEX('Raw Data'!$D$2:$D$251,MATCH(A130,'Raw Data'!$C$2:$C$251,0))</f>
        <v>Sharon Butler</v>
      </c>
      <c r="C130" s="38">
        <f>SUMIFS('Raw Data'!$N$2:$N$251,'Raw Data'!$C$2:$C$251,A130)</f>
        <v>5619.869999999999</v>
      </c>
      <c r="D130" s="41">
        <f>COUNTIFS('Raw Data'!$C$2:$C$251,A130)</f>
        <v>6</v>
      </c>
      <c r="E130" s="38">
        <f t="shared" si="15"/>
        <v>936.64499999999987</v>
      </c>
      <c r="F130" s="41">
        <f t="shared" si="16"/>
        <v>17</v>
      </c>
      <c r="G130" s="49" t="str">
        <f t="shared" si="17"/>
        <v>Mid Value</v>
      </c>
      <c r="H130" s="49" t="str">
        <f t="shared" si="18"/>
        <v>Repeat</v>
      </c>
      <c r="I130" s="49" t="str">
        <f t="shared" si="19"/>
        <v>SB</v>
      </c>
      <c r="J130" s="49" t="str">
        <f t="shared" si="20"/>
        <v>SHA-040</v>
      </c>
      <c r="K130" s="17" t="str">
        <f>IF(COUNTIFS('Raw Data'!$C$2:$C$251,A130,'Raw Data'!$G$2:$G$251,"Electronics")&gt;0,B130,"")</f>
        <v>Sharon Butler</v>
      </c>
      <c r="L130" s="17" t="str">
        <f>IF(COUNTIFS('Raw Data'!$C$2:$C$251,A130,'Raw Data'!$G$2:$G$251,"Furniture")&gt;0,B130,"")</f>
        <v/>
      </c>
      <c r="M130" s="17" t="str">
        <f t="shared" si="21"/>
        <v/>
      </c>
      <c r="N130" s="50">
        <f t="shared" si="22"/>
        <v>5619.8701299999993</v>
      </c>
    </row>
    <row r="131" spans="1:14" x14ac:dyDescent="0.35">
      <c r="A131" s="37" t="s">
        <v>75</v>
      </c>
      <c r="B131" s="17" t="str">
        <f>INDEX('Raw Data'!$D$2:$D$251,MATCH(A131,'Raw Data'!$C$2:$C$251,0))</f>
        <v>Peter Richardson</v>
      </c>
      <c r="C131" s="38">
        <f>SUMIFS('Raw Data'!$N$2:$N$251,'Raw Data'!$C$2:$C$251,A131)</f>
        <v>5949.85</v>
      </c>
      <c r="D131" s="41">
        <f>COUNTIFS('Raw Data'!$C$2:$C$251,A131)</f>
        <v>5</v>
      </c>
      <c r="E131" s="38">
        <f t="shared" si="15"/>
        <v>1189.97</v>
      </c>
      <c r="F131" s="41">
        <f t="shared" si="16"/>
        <v>15</v>
      </c>
      <c r="G131" s="49" t="str">
        <f t="shared" si="17"/>
        <v>Mid Value</v>
      </c>
      <c r="H131" s="49" t="str">
        <f t="shared" si="18"/>
        <v>Repeat</v>
      </c>
      <c r="I131" s="49" t="str">
        <f t="shared" si="19"/>
        <v>PR</v>
      </c>
      <c r="J131" s="49" t="str">
        <f t="shared" si="20"/>
        <v>PET-041</v>
      </c>
      <c r="K131" s="17" t="str">
        <f>IF(COUNTIFS('Raw Data'!$C$2:$C$251,A131,'Raw Data'!$G$2:$G$251,"Electronics")&gt;0,B131,"")</f>
        <v>Peter Richardson</v>
      </c>
      <c r="L131" s="17" t="str">
        <f>IF(COUNTIFS('Raw Data'!$C$2:$C$251,A131,'Raw Data'!$G$2:$G$251,"Furniture")&gt;0,B131,"")</f>
        <v>Peter Richardson</v>
      </c>
      <c r="M131" s="17" t="str">
        <f t="shared" si="21"/>
        <v>Peter Richardson</v>
      </c>
      <c r="N131" s="50">
        <f t="shared" si="22"/>
        <v>5949.8501310000001</v>
      </c>
    </row>
    <row r="132" spans="1:14" x14ac:dyDescent="0.35">
      <c r="A132" s="37" t="s">
        <v>249</v>
      </c>
      <c r="B132" s="17" t="str">
        <f>INDEX('Raw Data'!$D$2:$D$251,MATCH(A132,'Raw Data'!$C$2:$C$251,0))</f>
        <v>Ruth Brooks</v>
      </c>
      <c r="C132" s="38">
        <f>SUMIFS('Raw Data'!$N$2:$N$251,'Raw Data'!$C$2:$C$251,A132)</f>
        <v>1749.92</v>
      </c>
      <c r="D132" s="41">
        <f>COUNTIFS('Raw Data'!$C$2:$C$251,A132)</f>
        <v>3</v>
      </c>
      <c r="E132" s="38">
        <f t="shared" si="15"/>
        <v>583.30666666666673</v>
      </c>
      <c r="F132" s="41">
        <f t="shared" si="16"/>
        <v>40</v>
      </c>
      <c r="G132" s="49" t="str">
        <f t="shared" si="17"/>
        <v>Regular</v>
      </c>
      <c r="H132" s="49" t="str">
        <f t="shared" si="18"/>
        <v>Repeat</v>
      </c>
      <c r="I132" s="49" t="str">
        <f t="shared" si="19"/>
        <v>RB</v>
      </c>
      <c r="J132" s="49" t="str">
        <f t="shared" si="20"/>
        <v>RUT-042</v>
      </c>
      <c r="K132" s="17" t="str">
        <f>IF(COUNTIFS('Raw Data'!$C$2:$C$251,A132,'Raw Data'!$G$2:$G$251,"Electronics")&gt;0,B132,"")</f>
        <v>Ruth Brooks</v>
      </c>
      <c r="L132" s="17" t="str">
        <f>IF(COUNTIFS('Raw Data'!$C$2:$C$251,A132,'Raw Data'!$G$2:$G$251,"Furniture")&gt;0,B132,"")</f>
        <v>Ruth Brooks</v>
      </c>
      <c r="M132" s="17" t="str">
        <f t="shared" si="21"/>
        <v>Ruth Brooks</v>
      </c>
      <c r="N132" s="50">
        <f t="shared" si="22"/>
        <v>1749.920132</v>
      </c>
    </row>
    <row r="133" spans="1:14" x14ac:dyDescent="0.35">
      <c r="A133" s="37" t="s">
        <v>78</v>
      </c>
      <c r="B133" s="17" t="str">
        <f>INDEX('Raw Data'!$D$2:$D$251,MATCH(A133,'Raw Data'!$C$2:$C$251,0))</f>
        <v>Dennis Gray</v>
      </c>
      <c r="C133" s="38">
        <f>SUMIFS('Raw Data'!$N$2:$N$251,'Raw Data'!$C$2:$C$251,A133)</f>
        <v>479.91999999999996</v>
      </c>
      <c r="D133" s="41">
        <f>COUNTIFS('Raw Data'!$C$2:$C$251,A133)</f>
        <v>2</v>
      </c>
      <c r="E133" s="38">
        <f t="shared" si="15"/>
        <v>239.95999999999998</v>
      </c>
      <c r="F133" s="41">
        <f t="shared" si="16"/>
        <v>48</v>
      </c>
      <c r="G133" s="49" t="str">
        <f t="shared" si="17"/>
        <v>Regular</v>
      </c>
      <c r="H133" s="49" t="str">
        <f t="shared" si="18"/>
        <v>Repeat</v>
      </c>
      <c r="I133" s="49" t="str">
        <f t="shared" si="19"/>
        <v>DG</v>
      </c>
      <c r="J133" s="49" t="str">
        <f t="shared" si="20"/>
        <v>DEN-043</v>
      </c>
      <c r="K133" s="17" t="str">
        <f>IF(COUNTIFS('Raw Data'!$C$2:$C$251,A133,'Raw Data'!$G$2:$G$251,"Electronics")&gt;0,B133,"")</f>
        <v/>
      </c>
      <c r="L133" s="17" t="str">
        <f>IF(COUNTIFS('Raw Data'!$C$2:$C$251,A133,'Raw Data'!$G$2:$G$251,"Furniture")&gt;0,B133,"")</f>
        <v/>
      </c>
      <c r="M133" s="17" t="str">
        <f t="shared" si="21"/>
        <v/>
      </c>
      <c r="N133" s="50">
        <f t="shared" si="22"/>
        <v>479.92013299999996</v>
      </c>
    </row>
    <row r="134" spans="1:14" x14ac:dyDescent="0.35">
      <c r="A134" s="37" t="s">
        <v>105</v>
      </c>
      <c r="B134" s="17" t="str">
        <f>INDEX('Raw Data'!$D$2:$D$251,MATCH(A134,'Raw Data'!$C$2:$C$251,0))</f>
        <v>Cynthia Price</v>
      </c>
      <c r="C134" s="38">
        <f>SUMIFS('Raw Data'!$N$2:$N$251,'Raw Data'!$C$2:$C$251,A134)</f>
        <v>3769.8300000000004</v>
      </c>
      <c r="D134" s="41">
        <f>COUNTIFS('Raw Data'!$C$2:$C$251,A134)</f>
        <v>5</v>
      </c>
      <c r="E134" s="38">
        <f t="shared" si="15"/>
        <v>753.96600000000012</v>
      </c>
      <c r="F134" s="41">
        <f t="shared" si="16"/>
        <v>29</v>
      </c>
      <c r="G134" s="49" t="str">
        <f t="shared" si="17"/>
        <v>Regular</v>
      </c>
      <c r="H134" s="49" t="str">
        <f t="shared" si="18"/>
        <v>Repeat</v>
      </c>
      <c r="I134" s="49" t="str">
        <f t="shared" si="19"/>
        <v>CP</v>
      </c>
      <c r="J134" s="49" t="str">
        <f t="shared" si="20"/>
        <v>CYN-044</v>
      </c>
      <c r="K134" s="17" t="str">
        <f>IF(COUNTIFS('Raw Data'!$C$2:$C$251,A134,'Raw Data'!$G$2:$G$251,"Electronics")&gt;0,B134,"")</f>
        <v>Cynthia Price</v>
      </c>
      <c r="L134" s="17" t="str">
        <f>IF(COUNTIFS('Raw Data'!$C$2:$C$251,A134,'Raw Data'!$G$2:$G$251,"Furniture")&gt;0,B134,"")</f>
        <v>Cynthia Price</v>
      </c>
      <c r="M134" s="17" t="str">
        <f t="shared" si="21"/>
        <v>Cynthia Price</v>
      </c>
      <c r="N134" s="50">
        <f t="shared" si="22"/>
        <v>3769.8301340000003</v>
      </c>
    </row>
    <row r="135" spans="1:14" x14ac:dyDescent="0.35">
      <c r="A135" s="37" t="s">
        <v>296</v>
      </c>
      <c r="B135" s="17" t="str">
        <f>INDEX('Raw Data'!$D$2:$D$251,MATCH(A135,'Raw Data'!$C$2:$C$251,0))</f>
        <v>Douglas Watson</v>
      </c>
      <c r="C135" s="38">
        <f>SUMIFS('Raw Data'!$N$2:$N$251,'Raw Data'!$C$2:$C$251,A135)</f>
        <v>4829.8899999999994</v>
      </c>
      <c r="D135" s="41">
        <f>COUNTIFS('Raw Data'!$C$2:$C$251,A135)</f>
        <v>4</v>
      </c>
      <c r="E135" s="38">
        <f t="shared" si="15"/>
        <v>1207.4724999999999</v>
      </c>
      <c r="F135" s="41">
        <f t="shared" si="16"/>
        <v>21</v>
      </c>
      <c r="G135" s="49" t="str">
        <f t="shared" si="17"/>
        <v>Mid Value</v>
      </c>
      <c r="H135" s="49" t="str">
        <f t="shared" si="18"/>
        <v>Repeat</v>
      </c>
      <c r="I135" s="49" t="str">
        <f t="shared" si="19"/>
        <v>DW</v>
      </c>
      <c r="J135" s="49" t="str">
        <f t="shared" si="20"/>
        <v>DOU-045</v>
      </c>
      <c r="K135" s="17" t="str">
        <f>IF(COUNTIFS('Raw Data'!$C$2:$C$251,A135,'Raw Data'!$G$2:$G$251,"Electronics")&gt;0,B135,"")</f>
        <v>Douglas Watson</v>
      </c>
      <c r="L135" s="17" t="str">
        <f>IF(COUNTIFS('Raw Data'!$C$2:$C$251,A135,'Raw Data'!$G$2:$G$251,"Furniture")&gt;0,B135,"")</f>
        <v/>
      </c>
      <c r="M135" s="17" t="str">
        <f t="shared" si="21"/>
        <v/>
      </c>
      <c r="N135" s="50">
        <f t="shared" si="22"/>
        <v>4829.8901349999996</v>
      </c>
    </row>
    <row r="136" spans="1:14" x14ac:dyDescent="0.35">
      <c r="A136" s="37" t="s">
        <v>41</v>
      </c>
      <c r="B136" s="17" t="str">
        <f>INDEX('Raw Data'!$D$2:$D$251,MATCH(A136,'Raw Data'!$C$2:$C$251,0))</f>
        <v>Kathleen Bennett</v>
      </c>
      <c r="C136" s="38">
        <f>SUMIFS('Raw Data'!$N$2:$N$251,'Raw Data'!$C$2:$C$251,A136)</f>
        <v>4309.8099999999995</v>
      </c>
      <c r="D136" s="41">
        <f>COUNTIFS('Raw Data'!$C$2:$C$251,A136)</f>
        <v>6</v>
      </c>
      <c r="E136" s="38">
        <f t="shared" si="15"/>
        <v>718.30166666666662</v>
      </c>
      <c r="F136" s="41">
        <f t="shared" si="16"/>
        <v>25</v>
      </c>
      <c r="G136" s="49" t="str">
        <f t="shared" si="17"/>
        <v>Mid Value</v>
      </c>
      <c r="H136" s="49" t="str">
        <f t="shared" si="18"/>
        <v>Repeat</v>
      </c>
      <c r="I136" s="49" t="str">
        <f t="shared" si="19"/>
        <v>KB</v>
      </c>
      <c r="J136" s="49" t="str">
        <f t="shared" si="20"/>
        <v>KAT-046</v>
      </c>
      <c r="K136" s="17" t="str">
        <f>IF(COUNTIFS('Raw Data'!$C$2:$C$251,A136,'Raw Data'!$G$2:$G$251,"Electronics")&gt;0,B136,"")</f>
        <v>Kathleen Bennett</v>
      </c>
      <c r="L136" s="17" t="str">
        <f>IF(COUNTIFS('Raw Data'!$C$2:$C$251,A136,'Raw Data'!$G$2:$G$251,"Furniture")&gt;0,B136,"")</f>
        <v>Kathleen Bennett</v>
      </c>
      <c r="M136" s="17" t="str">
        <f t="shared" si="21"/>
        <v>Kathleen Bennett</v>
      </c>
      <c r="N136" s="50">
        <f t="shared" si="22"/>
        <v>4309.8101359999991</v>
      </c>
    </row>
    <row r="137" spans="1:14" x14ac:dyDescent="0.35">
      <c r="A137" s="37" t="s">
        <v>199</v>
      </c>
      <c r="B137" s="17" t="str">
        <f>INDEX('Raw Data'!$D$2:$D$251,MATCH(A137,'Raw Data'!$C$2:$C$251,0))</f>
        <v>Gerald Murphy</v>
      </c>
      <c r="C137" s="38">
        <f>SUMIFS('Raw Data'!$N$2:$N$251,'Raw Data'!$C$2:$C$251,A137)</f>
        <v>6379.87</v>
      </c>
      <c r="D137" s="41">
        <f>COUNTIFS('Raw Data'!$C$2:$C$251,A137)</f>
        <v>4</v>
      </c>
      <c r="E137" s="38">
        <f t="shared" si="15"/>
        <v>1594.9675</v>
      </c>
      <c r="F137" s="41">
        <f t="shared" si="16"/>
        <v>12</v>
      </c>
      <c r="G137" s="49" t="str">
        <f t="shared" si="17"/>
        <v>Mid Value</v>
      </c>
      <c r="H137" s="49" t="str">
        <f t="shared" si="18"/>
        <v>Repeat</v>
      </c>
      <c r="I137" s="49" t="str">
        <f t="shared" si="19"/>
        <v>GM</v>
      </c>
      <c r="J137" s="49" t="str">
        <f t="shared" si="20"/>
        <v>GER-047</v>
      </c>
      <c r="K137" s="17" t="str">
        <f>IF(COUNTIFS('Raw Data'!$C$2:$C$251,A137,'Raw Data'!$G$2:$G$251,"Electronics")&gt;0,B137,"")</f>
        <v>Gerald Murphy</v>
      </c>
      <c r="L137" s="17" t="str">
        <f>IF(COUNTIFS('Raw Data'!$C$2:$C$251,A137,'Raw Data'!$G$2:$G$251,"Furniture")&gt;0,B137,"")</f>
        <v/>
      </c>
      <c r="M137" s="17" t="str">
        <f t="shared" si="21"/>
        <v/>
      </c>
      <c r="N137" s="50">
        <f t="shared" si="22"/>
        <v>6379.8701369999999</v>
      </c>
    </row>
    <row r="138" spans="1:14" x14ac:dyDescent="0.35">
      <c r="A138" s="37" t="s">
        <v>96</v>
      </c>
      <c r="B138" s="17" t="str">
        <f>INDEX('Raw Data'!$D$2:$D$251,MATCH(A138,'Raw Data'!$C$2:$C$251,0))</f>
        <v>Virginia Sanders</v>
      </c>
      <c r="C138" s="38">
        <f>SUMIFS('Raw Data'!$N$2:$N$251,'Raw Data'!$C$2:$C$251,A138)</f>
        <v>4789.7900000000009</v>
      </c>
      <c r="D138" s="41">
        <f>COUNTIFS('Raw Data'!$C$2:$C$251,A138)</f>
        <v>6</v>
      </c>
      <c r="E138" s="38">
        <f t="shared" si="15"/>
        <v>798.29833333333352</v>
      </c>
      <c r="F138" s="41">
        <f t="shared" si="16"/>
        <v>22</v>
      </c>
      <c r="G138" s="49" t="str">
        <f t="shared" si="17"/>
        <v>Mid Value</v>
      </c>
      <c r="H138" s="49" t="str">
        <f t="shared" si="18"/>
        <v>Repeat</v>
      </c>
      <c r="I138" s="49" t="str">
        <f t="shared" si="19"/>
        <v>VS</v>
      </c>
      <c r="J138" s="49" t="str">
        <f t="shared" si="20"/>
        <v>VIR-048</v>
      </c>
      <c r="K138" s="17" t="str">
        <f>IF(COUNTIFS('Raw Data'!$C$2:$C$251,A138,'Raw Data'!$G$2:$G$251,"Electronics")&gt;0,B138,"")</f>
        <v>Virginia Sanders</v>
      </c>
      <c r="L138" s="17" t="str">
        <f>IF(COUNTIFS('Raw Data'!$C$2:$C$251,A138,'Raw Data'!$G$2:$G$251,"Furniture")&gt;0,B138,"")</f>
        <v>Virginia Sanders</v>
      </c>
      <c r="M138" s="17" t="str">
        <f t="shared" si="21"/>
        <v>Virginia Sanders</v>
      </c>
      <c r="N138" s="50">
        <f t="shared" si="22"/>
        <v>4789.7901380000012</v>
      </c>
    </row>
    <row r="139" spans="1:14" x14ac:dyDescent="0.35">
      <c r="A139" s="37" t="s">
        <v>174</v>
      </c>
      <c r="B139" s="17" t="str">
        <f>INDEX('Raw Data'!$D$2:$D$251,MATCH(A139,'Raw Data'!$C$2:$C$251,0))</f>
        <v>Raymond Ross</v>
      </c>
      <c r="C139" s="38">
        <f>SUMIFS('Raw Data'!$N$2:$N$251,'Raw Data'!$C$2:$C$251,A139)</f>
        <v>3669.8500000000004</v>
      </c>
      <c r="D139" s="41">
        <f>COUNTIFS('Raw Data'!$C$2:$C$251,A139)</f>
        <v>4</v>
      </c>
      <c r="E139" s="38">
        <f t="shared" si="15"/>
        <v>917.46250000000009</v>
      </c>
      <c r="F139" s="41">
        <f t="shared" si="16"/>
        <v>30</v>
      </c>
      <c r="G139" s="49" t="str">
        <f t="shared" si="17"/>
        <v>Regular</v>
      </c>
      <c r="H139" s="49" t="str">
        <f t="shared" si="18"/>
        <v>Repeat</v>
      </c>
      <c r="I139" s="49" t="str">
        <f t="shared" si="19"/>
        <v>RR</v>
      </c>
      <c r="J139" s="49" t="str">
        <f t="shared" si="20"/>
        <v>RAY-049</v>
      </c>
      <c r="K139" s="17" t="str">
        <f>IF(COUNTIFS('Raw Data'!$C$2:$C$251,A139,'Raw Data'!$G$2:$G$251,"Electronics")&gt;0,B139,"")</f>
        <v>Raymond Ross</v>
      </c>
      <c r="L139" s="17" t="str">
        <f>IF(COUNTIFS('Raw Data'!$C$2:$C$251,A139,'Raw Data'!$G$2:$G$251,"Furniture")&gt;0,B139,"")</f>
        <v/>
      </c>
      <c r="M139" s="17" t="str">
        <f t="shared" si="21"/>
        <v/>
      </c>
      <c r="N139" s="50">
        <f t="shared" si="22"/>
        <v>3669.8501390000006</v>
      </c>
    </row>
    <row r="140" spans="1:14" x14ac:dyDescent="0.35">
      <c r="A140" s="37" t="s">
        <v>165</v>
      </c>
      <c r="B140" s="17" t="str">
        <f>INDEX('Raw Data'!$D$2:$D$251,MATCH(A140,'Raw Data'!$C$2:$C$251,0))</f>
        <v>Julie Foster</v>
      </c>
      <c r="C140" s="38">
        <f>SUMIFS('Raw Data'!$N$2:$N$251,'Raw Data'!$C$2:$C$251,A140)</f>
        <v>239.96</v>
      </c>
      <c r="D140" s="41">
        <f>COUNTIFS('Raw Data'!$C$2:$C$251,A140)</f>
        <v>1</v>
      </c>
      <c r="E140" s="38">
        <f t="shared" si="15"/>
        <v>239.96</v>
      </c>
      <c r="F140" s="41">
        <f t="shared" si="16"/>
        <v>49</v>
      </c>
      <c r="G140" s="49" t="str">
        <f t="shared" si="17"/>
        <v>Regular</v>
      </c>
      <c r="H140" s="49" t="str">
        <f t="shared" si="18"/>
        <v>One-time</v>
      </c>
      <c r="I140" s="49" t="str">
        <f t="shared" si="19"/>
        <v>JF</v>
      </c>
      <c r="J140" s="49" t="str">
        <f t="shared" si="20"/>
        <v>JUL-050</v>
      </c>
      <c r="K140" s="17" t="str">
        <f>IF(COUNTIFS('Raw Data'!$C$2:$C$251,A140,'Raw Data'!$G$2:$G$251,"Electronics")&gt;0,B140,"")</f>
        <v/>
      </c>
      <c r="L140" s="17" t="str">
        <f>IF(COUNTIFS('Raw Data'!$C$2:$C$251,A140,'Raw Data'!$G$2:$G$251,"Furniture")&gt;0,B140,"")</f>
        <v/>
      </c>
      <c r="M140" s="17" t="str">
        <f t="shared" si="21"/>
        <v/>
      </c>
      <c r="N140" s="50">
        <f t="shared" si="22"/>
        <v>239.96014</v>
      </c>
    </row>
    <row r="141" spans="1:14" x14ac:dyDescent="0.35">
      <c r="A141" s="24"/>
    </row>
    <row r="143" spans="1:14" ht="15.5" x14ac:dyDescent="0.35">
      <c r="A143" s="25" t="s">
        <v>458</v>
      </c>
      <c r="B143" s="26"/>
      <c r="C143" s="26"/>
      <c r="D143" s="26"/>
      <c r="E143" s="26"/>
      <c r="F143" s="26"/>
      <c r="G143" s="26"/>
      <c r="H143" s="26"/>
    </row>
    <row r="144" spans="1:14" ht="28" x14ac:dyDescent="0.35">
      <c r="A144" s="15" t="s">
        <v>433</v>
      </c>
      <c r="B144" s="15" t="s">
        <v>459</v>
      </c>
      <c r="C144" s="15" t="s">
        <v>428</v>
      </c>
      <c r="D144" s="15" t="s">
        <v>449</v>
      </c>
      <c r="E144" s="15" t="s">
        <v>460</v>
      </c>
    </row>
    <row r="145" spans="1:8" x14ac:dyDescent="0.35">
      <c r="A145" s="41">
        <v>1</v>
      </c>
      <c r="B145" s="17" t="str">
        <f t="shared" ref="B145:B154" si="23">INDEX($B$91:$B$140,MATCH(A145,$F$91:$F$140,0))</f>
        <v>Mark Carter</v>
      </c>
      <c r="C145" s="38">
        <f t="shared" ref="C145:C154" si="24">INDEX($C$91:$C$140,MATCH(A145,$F$91:$F$140,0))</f>
        <v>15659.65</v>
      </c>
      <c r="D145" s="41">
        <f t="shared" ref="D145:D154" si="25">INDEX($D$91:$D$140,MATCH(A145,$F$91:$F$140,0))</f>
        <v>12</v>
      </c>
      <c r="E145" s="40">
        <f t="shared" ref="E145:E154" si="26">C145/$C$17</f>
        <v>6.8325324998678966E-2</v>
      </c>
    </row>
    <row r="146" spans="1:8" x14ac:dyDescent="0.35">
      <c r="A146" s="41">
        <v>2</v>
      </c>
      <c r="B146" s="17" t="str">
        <f t="shared" si="23"/>
        <v>Edward Mitchell</v>
      </c>
      <c r="C146" s="38">
        <f t="shared" si="24"/>
        <v>11919.769999999999</v>
      </c>
      <c r="D146" s="41">
        <f t="shared" si="25"/>
        <v>6</v>
      </c>
      <c r="E146" s="40">
        <f t="shared" si="26"/>
        <v>5.2007685941863543E-2</v>
      </c>
    </row>
    <row r="147" spans="1:8" x14ac:dyDescent="0.35">
      <c r="A147" s="41">
        <v>3</v>
      </c>
      <c r="B147" s="17" t="str">
        <f t="shared" si="23"/>
        <v>Barbara Young</v>
      </c>
      <c r="C147" s="38">
        <f t="shared" si="24"/>
        <v>10649.8</v>
      </c>
      <c r="D147" s="41">
        <f t="shared" si="25"/>
        <v>5</v>
      </c>
      <c r="E147" s="40">
        <f t="shared" si="26"/>
        <v>4.6466622572722327E-2</v>
      </c>
    </row>
    <row r="148" spans="1:8" x14ac:dyDescent="0.35">
      <c r="A148" s="41">
        <v>4</v>
      </c>
      <c r="B148" s="17" t="str">
        <f t="shared" si="23"/>
        <v>Patricia Moore</v>
      </c>
      <c r="C148" s="38">
        <f t="shared" si="24"/>
        <v>9799.73</v>
      </c>
      <c r="D148" s="41">
        <f t="shared" si="25"/>
        <v>8</v>
      </c>
      <c r="E148" s="40">
        <f t="shared" si="26"/>
        <v>4.2757643826605587E-2</v>
      </c>
    </row>
    <row r="149" spans="1:8" x14ac:dyDescent="0.35">
      <c r="A149" s="41">
        <v>5</v>
      </c>
      <c r="B149" s="17" t="str">
        <f t="shared" si="23"/>
        <v>Paul Baker</v>
      </c>
      <c r="C149" s="38">
        <f t="shared" si="24"/>
        <v>8309.739999999998</v>
      </c>
      <c r="D149" s="41">
        <f t="shared" si="25"/>
        <v>8</v>
      </c>
      <c r="E149" s="40">
        <f t="shared" si="26"/>
        <v>3.6256601274902212E-2</v>
      </c>
    </row>
    <row r="150" spans="1:8" x14ac:dyDescent="0.35">
      <c r="A150" s="41">
        <v>6</v>
      </c>
      <c r="B150" s="17" t="str">
        <f t="shared" si="23"/>
        <v>Dorothy Nelson</v>
      </c>
      <c r="C150" s="38">
        <f t="shared" si="24"/>
        <v>8269.7900000000009</v>
      </c>
      <c r="D150" s="41">
        <f t="shared" si="25"/>
        <v>6</v>
      </c>
      <c r="E150" s="40">
        <f t="shared" si="26"/>
        <v>3.6082293628582077E-2</v>
      </c>
    </row>
    <row r="151" spans="1:8" x14ac:dyDescent="0.35">
      <c r="A151" s="41">
        <v>7</v>
      </c>
      <c r="B151" s="17" t="str">
        <f t="shared" si="23"/>
        <v>Karen Hill</v>
      </c>
      <c r="C151" s="38">
        <f t="shared" si="24"/>
        <v>8009.7699999999995</v>
      </c>
      <c r="D151" s="41">
        <f t="shared" si="25"/>
        <v>8</v>
      </c>
      <c r="E151" s="40">
        <f t="shared" si="26"/>
        <v>3.4947788642445313E-2</v>
      </c>
    </row>
    <row r="152" spans="1:8" x14ac:dyDescent="0.35">
      <c r="A152" s="41">
        <v>8</v>
      </c>
      <c r="B152" s="17" t="str">
        <f t="shared" si="23"/>
        <v>Daniel King</v>
      </c>
      <c r="C152" s="38">
        <f t="shared" si="24"/>
        <v>7309.7999999999993</v>
      </c>
      <c r="D152" s="41">
        <f t="shared" si="25"/>
        <v>7</v>
      </c>
      <c r="E152" s="40">
        <f t="shared" si="26"/>
        <v>3.18937179742423E-2</v>
      </c>
    </row>
    <row r="153" spans="1:8" x14ac:dyDescent="0.35">
      <c r="A153" s="41">
        <v>9</v>
      </c>
      <c r="B153" s="17" t="str">
        <f t="shared" si="23"/>
        <v>Lawrence Reed</v>
      </c>
      <c r="C153" s="38">
        <f t="shared" si="24"/>
        <v>6989.7699999999986</v>
      </c>
      <c r="D153" s="41">
        <f t="shared" si="25"/>
        <v>8</v>
      </c>
      <c r="E153" s="40">
        <f t="shared" si="26"/>
        <v>3.0497380651292726E-2</v>
      </c>
    </row>
    <row r="154" spans="1:8" x14ac:dyDescent="0.35">
      <c r="A154" s="41">
        <v>10</v>
      </c>
      <c r="B154" s="17" t="str">
        <f t="shared" si="23"/>
        <v>Joseph Jackson</v>
      </c>
      <c r="C154" s="38">
        <f t="shared" si="24"/>
        <v>6949.84</v>
      </c>
      <c r="D154" s="41">
        <f t="shared" si="25"/>
        <v>5</v>
      </c>
      <c r="E154" s="40">
        <f t="shared" si="26"/>
        <v>3.0323160267874377E-2</v>
      </c>
    </row>
    <row r="156" spans="1:8" ht="15.5" x14ac:dyDescent="0.35">
      <c r="A156" s="25" t="s">
        <v>461</v>
      </c>
      <c r="B156" s="26"/>
      <c r="C156" s="26"/>
      <c r="D156" s="26"/>
      <c r="E156" s="26"/>
      <c r="F156" s="26"/>
      <c r="G156" s="26"/>
      <c r="H156" s="26"/>
    </row>
    <row r="157" spans="1:8" x14ac:dyDescent="0.35">
      <c r="A157" s="29" t="s">
        <v>462</v>
      </c>
      <c r="C157" s="51" t="str">
        <f>INDEX($A$45:$A$54,MATCH(MAX($C$45:$C$54),$C$45:$C$54,0))</f>
        <v>Bookshelf</v>
      </c>
    </row>
    <row r="158" spans="1:8" x14ac:dyDescent="0.35">
      <c r="A158" s="29" t="s">
        <v>463</v>
      </c>
      <c r="C158" s="36">
        <f>MAX($C$45:$C$54)</f>
        <v>35</v>
      </c>
    </row>
    <row r="159" spans="1:8" x14ac:dyDescent="0.35">
      <c r="A159" s="29" t="s">
        <v>464</v>
      </c>
      <c r="C159" s="51" t="str">
        <f>INDEX($A$45:$A$54,MATCH(1,$G$45:$G$54,0))</f>
        <v>Laptop</v>
      </c>
    </row>
    <row r="160" spans="1:8" x14ac:dyDescent="0.35">
      <c r="A160" s="29" t="s">
        <v>465</v>
      </c>
      <c r="C160" s="36">
        <f>COUNTIF($H$91:$H$140,"Repeat")</f>
        <v>47</v>
      </c>
    </row>
    <row r="161" spans="1:9" x14ac:dyDescent="0.35">
      <c r="A161" s="29" t="s">
        <v>466</v>
      </c>
      <c r="C161" s="52">
        <f>C160/C21</f>
        <v>0.9399999999999995</v>
      </c>
    </row>
    <row r="162" spans="1:9" x14ac:dyDescent="0.35">
      <c r="A162" s="29" t="s">
        <v>467</v>
      </c>
      <c r="C162" s="51" t="str">
        <f>INDEX($B$91:$B$140,MATCH(MAX($D$91:$D$140),$D$91:$D$140,0))</f>
        <v>Mark Carter</v>
      </c>
    </row>
    <row r="163" spans="1:9" x14ac:dyDescent="0.35">
      <c r="A163" s="29" t="s">
        <v>468</v>
      </c>
      <c r="C163" s="36">
        <f>COUNTIF($M$91:$M$140,"?*")</f>
        <v>34</v>
      </c>
    </row>
    <row r="166" spans="1:9" ht="15.5" x14ac:dyDescent="0.35">
      <c r="A166" s="25" t="s">
        <v>469</v>
      </c>
      <c r="B166" s="26"/>
      <c r="C166" s="26"/>
      <c r="D166" s="26"/>
      <c r="E166" s="26"/>
      <c r="F166" s="26"/>
      <c r="G166" s="26"/>
      <c r="H166" s="26"/>
      <c r="I166" s="26"/>
    </row>
    <row r="167" spans="1:9" x14ac:dyDescent="0.35">
      <c r="A167" s="15" t="s">
        <v>470</v>
      </c>
      <c r="B167" s="15" t="s">
        <v>0</v>
      </c>
      <c r="C167" s="15" t="s">
        <v>1</v>
      </c>
      <c r="D167" s="15" t="s">
        <v>459</v>
      </c>
      <c r="E167" s="15" t="s">
        <v>437</v>
      </c>
      <c r="F167" s="15" t="s">
        <v>10</v>
      </c>
      <c r="G167" s="15" t="s">
        <v>6</v>
      </c>
      <c r="H167" s="15" t="s">
        <v>471</v>
      </c>
      <c r="I167" s="15" t="s">
        <v>472</v>
      </c>
    </row>
    <row r="168" spans="1:9" x14ac:dyDescent="0.35">
      <c r="A168" s="41">
        <v>1</v>
      </c>
      <c r="B168" s="17" t="str">
        <f>IFERROR(INDEX('Raw Data'!$A$2:$A$251,MATCH($A168,'Raw Data'!$Q$2:$Q$251,0)),"")</f>
        <v>TRX0155</v>
      </c>
      <c r="C168" s="18">
        <f>IFERROR(INDEX('Raw Data'!$B$2:$B$251,MATCH($A168,'Raw Data'!$Q$2:$Q$251,0)),"")</f>
        <v>45393</v>
      </c>
      <c r="D168" s="17" t="str">
        <f>IFERROR(INDEX('Raw Data'!$D$2:$D$251,MATCH($A168,'Raw Data'!$Q$2:$Q$251,0)),"")</f>
        <v>Paul Baker</v>
      </c>
      <c r="E168" s="17" t="str">
        <f>IFERROR(INDEX('Raw Data'!$F$2:$F$251,MATCH($A168,'Raw Data'!$Q$2:$Q$251,0)),"")</f>
        <v>Monitor</v>
      </c>
      <c r="F168" s="17" t="str">
        <f>IFERROR(INDEX('Raw Data'!$K$2:$K$251,MATCH($A168,'Raw Data'!$Q$2:$Q$251,0)),"")</f>
        <v>Central</v>
      </c>
      <c r="G168" s="17" t="str">
        <f>IFERROR(INDEX('Raw Data'!$G$2:$G$251,MATCH($A168,'Raw Data'!$Q$2:$Q$251,0)),"")</f>
        <v>Electronics</v>
      </c>
      <c r="H168" s="53">
        <f>IFERROR(INDEX('Raw Data'!$H$2:$H$251,MATCH($A168,'Raw Data'!$Q$2:$Q$251,0)),"")</f>
        <v>3</v>
      </c>
      <c r="I168" s="19">
        <f>IFERROR(INDEX('Raw Data'!$N$2:$N$251,MATCH($A168,'Raw Data'!$Q$2:$Q$251,0)),"")</f>
        <v>749.97</v>
      </c>
    </row>
    <row r="169" spans="1:9" x14ac:dyDescent="0.35">
      <c r="A169" s="41">
        <v>2</v>
      </c>
      <c r="B169" s="17" t="str">
        <f>IFERROR(INDEX('Raw Data'!$A$2:$A$251,MATCH($A169,'Raw Data'!$Q$2:$Q$251,0)),"")</f>
        <v>TRX0023</v>
      </c>
      <c r="C169" s="18">
        <f>IFERROR(INDEX('Raw Data'!$B$2:$B$251,MATCH($A169,'Raw Data'!$Q$2:$Q$251,0)),"")</f>
        <v>45396</v>
      </c>
      <c r="D169" s="17" t="str">
        <f>IFERROR(INDEX('Raw Data'!$D$2:$D$251,MATCH($A169,'Raw Data'!$Q$2:$Q$251,0)),"")</f>
        <v>Joseph Jackson</v>
      </c>
      <c r="E169" s="17" t="str">
        <f>IFERROR(INDEX('Raw Data'!$F$2:$F$251,MATCH($A169,'Raw Data'!$Q$2:$Q$251,0)),"")</f>
        <v>Monitor</v>
      </c>
      <c r="F169" s="17" t="str">
        <f>IFERROR(INDEX('Raw Data'!$K$2:$K$251,MATCH($A169,'Raw Data'!$Q$2:$Q$251,0)),"")</f>
        <v>Central</v>
      </c>
      <c r="G169" s="17" t="str">
        <f>IFERROR(INDEX('Raw Data'!$G$2:$G$251,MATCH($A169,'Raw Data'!$Q$2:$Q$251,0)),"")</f>
        <v>Electronics</v>
      </c>
      <c r="H169" s="53">
        <f>IFERROR(INDEX('Raw Data'!$H$2:$H$251,MATCH($A169,'Raw Data'!$Q$2:$Q$251,0)),"")</f>
        <v>3</v>
      </c>
      <c r="I169" s="19">
        <f>IFERROR(INDEX('Raw Data'!$N$2:$N$251,MATCH($A169,'Raw Data'!$Q$2:$Q$251,0)),"")</f>
        <v>749.97</v>
      </c>
    </row>
    <row r="170" spans="1:9" x14ac:dyDescent="0.35">
      <c r="A170" s="41">
        <v>3</v>
      </c>
      <c r="B170" s="17" t="str">
        <f>IFERROR(INDEX('Raw Data'!$A$2:$A$251,MATCH($A170,'Raw Data'!$Q$2:$Q$251,0)),"")</f>
        <v>TRX0139</v>
      </c>
      <c r="C170" s="18">
        <f>IFERROR(INDEX('Raw Data'!$B$2:$B$251,MATCH($A170,'Raw Data'!$Q$2:$Q$251,0)),"")</f>
        <v>45399</v>
      </c>
      <c r="D170" s="17" t="str">
        <f>IFERROR(INDEX('Raw Data'!$D$2:$D$251,MATCH($A170,'Raw Data'!$Q$2:$Q$251,0)),"")</f>
        <v>Kevin Scott</v>
      </c>
      <c r="E170" s="17" t="str">
        <f>IFERROR(INDEX('Raw Data'!$F$2:$F$251,MATCH($A170,'Raw Data'!$Q$2:$Q$251,0)),"")</f>
        <v>Blender</v>
      </c>
      <c r="F170" s="17" t="str">
        <f>IFERROR(INDEX('Raw Data'!$K$2:$K$251,MATCH($A170,'Raw Data'!$Q$2:$Q$251,0)),"")</f>
        <v>South</v>
      </c>
      <c r="G170" s="17" t="str">
        <f>IFERROR(INDEX('Raw Data'!$G$2:$G$251,MATCH($A170,'Raw Data'!$Q$2:$Q$251,0)),"")</f>
        <v>Appliances</v>
      </c>
      <c r="H170" s="53">
        <f>IFERROR(INDEX('Raw Data'!$H$2:$H$251,MATCH($A170,'Raw Data'!$Q$2:$Q$251,0)),"")</f>
        <v>3</v>
      </c>
      <c r="I170" s="19">
        <f>IFERROR(INDEX('Raw Data'!$N$2:$N$251,MATCH($A170,'Raw Data'!$Q$2:$Q$251,0)),"")</f>
        <v>179.97</v>
      </c>
    </row>
    <row r="171" spans="1:9" x14ac:dyDescent="0.35">
      <c r="A171" s="41">
        <v>4</v>
      </c>
      <c r="B171" s="17" t="str">
        <f>IFERROR(INDEX('Raw Data'!$A$2:$A$251,MATCH($A171,'Raw Data'!$Q$2:$Q$251,0)),"")</f>
        <v>TRX0043</v>
      </c>
      <c r="C171" s="18">
        <f>IFERROR(INDEX('Raw Data'!$B$2:$B$251,MATCH($A171,'Raw Data'!$Q$2:$Q$251,0)),"")</f>
        <v>45400</v>
      </c>
      <c r="D171" s="17" t="str">
        <f>IFERROR(INDEX('Raw Data'!$D$2:$D$251,MATCH($A171,'Raw Data'!$Q$2:$Q$251,0)),"")</f>
        <v>Kathleen Bennett</v>
      </c>
      <c r="E171" s="17" t="str">
        <f>IFERROR(INDEX('Raw Data'!$F$2:$F$251,MATCH($A171,'Raw Data'!$Q$2:$Q$251,0)),"")</f>
        <v>Blender</v>
      </c>
      <c r="F171" s="17" t="str">
        <f>IFERROR(INDEX('Raw Data'!$K$2:$K$251,MATCH($A171,'Raw Data'!$Q$2:$Q$251,0)),"")</f>
        <v>North</v>
      </c>
      <c r="G171" s="17" t="str">
        <f>IFERROR(INDEX('Raw Data'!$G$2:$G$251,MATCH($A171,'Raw Data'!$Q$2:$Q$251,0)),"")</f>
        <v>Appliances</v>
      </c>
      <c r="H171" s="53">
        <f>IFERROR(INDEX('Raw Data'!$H$2:$H$251,MATCH($A171,'Raw Data'!$Q$2:$Q$251,0)),"")</f>
        <v>3</v>
      </c>
      <c r="I171" s="19">
        <f>IFERROR(INDEX('Raw Data'!$N$2:$N$251,MATCH($A171,'Raw Data'!$Q$2:$Q$251,0)),"")</f>
        <v>179.97</v>
      </c>
    </row>
    <row r="172" spans="1:9" x14ac:dyDescent="0.35">
      <c r="A172" s="41">
        <v>5</v>
      </c>
      <c r="B172" s="17" t="str">
        <f>IFERROR(INDEX('Raw Data'!$A$2:$A$251,MATCH($A172,'Raw Data'!$Q$2:$Q$251,0)),"")</f>
        <v>TRX0212</v>
      </c>
      <c r="C172" s="18">
        <f>IFERROR(INDEX('Raw Data'!$B$2:$B$251,MATCH($A172,'Raw Data'!$Q$2:$Q$251,0)),"")</f>
        <v>45400</v>
      </c>
      <c r="D172" s="17" t="str">
        <f>IFERROR(INDEX('Raw Data'!$D$2:$D$251,MATCH($A172,'Raw Data'!$Q$2:$Q$251,0)),"")</f>
        <v>Michael Brown</v>
      </c>
      <c r="E172" s="17" t="str">
        <f>IFERROR(INDEX('Raw Data'!$F$2:$F$251,MATCH($A172,'Raw Data'!$Q$2:$Q$251,0)),"")</f>
        <v>Bookshelf</v>
      </c>
      <c r="F172" s="17" t="str">
        <f>IFERROR(INDEX('Raw Data'!$K$2:$K$251,MATCH($A172,'Raw Data'!$Q$2:$Q$251,0)),"")</f>
        <v>North</v>
      </c>
      <c r="G172" s="17" t="str">
        <f>IFERROR(INDEX('Raw Data'!$G$2:$G$251,MATCH($A172,'Raw Data'!$Q$2:$Q$251,0)),"")</f>
        <v>Furniture</v>
      </c>
      <c r="H172" s="53">
        <f>IFERROR(INDEX('Raw Data'!$H$2:$H$251,MATCH($A172,'Raw Data'!$Q$2:$Q$251,0)),"")</f>
        <v>5</v>
      </c>
      <c r="I172" s="19">
        <f>IFERROR(INDEX('Raw Data'!$N$2:$N$251,MATCH($A172,'Raw Data'!$Q$2:$Q$251,0)),"")</f>
        <v>749.95</v>
      </c>
    </row>
    <row r="173" spans="1:9" x14ac:dyDescent="0.35">
      <c r="A173" s="41">
        <v>6</v>
      </c>
      <c r="B173" s="17" t="str">
        <f>IFERROR(INDEX('Raw Data'!$A$2:$A$251,MATCH($A173,'Raw Data'!$Q$2:$Q$251,0)),"")</f>
        <v>TRX0092</v>
      </c>
      <c r="C173" s="18">
        <f>IFERROR(INDEX('Raw Data'!$B$2:$B$251,MATCH($A173,'Raw Data'!$Q$2:$Q$251,0)),"")</f>
        <v>45403</v>
      </c>
      <c r="D173" s="17" t="str">
        <f>IFERROR(INDEX('Raw Data'!$D$2:$D$251,MATCH($A173,'Raw Data'!$Q$2:$Q$251,0)),"")</f>
        <v>Dorothy Nelson</v>
      </c>
      <c r="E173" s="17" t="str">
        <f>IFERROR(INDEX('Raw Data'!$F$2:$F$251,MATCH($A173,'Raw Data'!$Q$2:$Q$251,0)),"")</f>
        <v>Blender</v>
      </c>
      <c r="F173" s="17" t="str">
        <f>IFERROR(INDEX('Raw Data'!$K$2:$K$251,MATCH($A173,'Raw Data'!$Q$2:$Q$251,0)),"")</f>
        <v>West</v>
      </c>
      <c r="G173" s="17" t="str">
        <f>IFERROR(INDEX('Raw Data'!$G$2:$G$251,MATCH($A173,'Raw Data'!$Q$2:$Q$251,0)),"")</f>
        <v>Appliances</v>
      </c>
      <c r="H173" s="53">
        <f>IFERROR(INDEX('Raw Data'!$H$2:$H$251,MATCH($A173,'Raw Data'!$Q$2:$Q$251,0)),"")</f>
        <v>2</v>
      </c>
      <c r="I173" s="19">
        <f>IFERROR(INDEX('Raw Data'!$N$2:$N$251,MATCH($A173,'Raw Data'!$Q$2:$Q$251,0)),"")</f>
        <v>119.98</v>
      </c>
    </row>
    <row r="174" spans="1:9" x14ac:dyDescent="0.35">
      <c r="A174" s="41">
        <v>7</v>
      </c>
      <c r="B174" s="17" t="str">
        <f>IFERROR(INDEX('Raw Data'!$A$2:$A$251,MATCH($A174,'Raw Data'!$Q$2:$Q$251,0)),"")</f>
        <v>TRX0193</v>
      </c>
      <c r="C174" s="18">
        <f>IFERROR(INDEX('Raw Data'!$B$2:$B$251,MATCH($A174,'Raw Data'!$Q$2:$Q$251,0)),"")</f>
        <v>45403</v>
      </c>
      <c r="D174" s="17" t="str">
        <f>IFERROR(INDEX('Raw Data'!$D$2:$D$251,MATCH($A174,'Raw Data'!$Q$2:$Q$251,0)),"")</f>
        <v>Dorothy Nelson</v>
      </c>
      <c r="E174" s="17" t="str">
        <f>IFERROR(INDEX('Raw Data'!$F$2:$F$251,MATCH($A174,'Raw Data'!$Q$2:$Q$251,0)),"")</f>
        <v>Headphones</v>
      </c>
      <c r="F174" s="17" t="str">
        <f>IFERROR(INDEX('Raw Data'!$K$2:$K$251,MATCH($A174,'Raw Data'!$Q$2:$Q$251,0)),"")</f>
        <v>Central</v>
      </c>
      <c r="G174" s="17" t="str">
        <f>IFERROR(INDEX('Raw Data'!$G$2:$G$251,MATCH($A174,'Raw Data'!$Q$2:$Q$251,0)),"")</f>
        <v>Electronics</v>
      </c>
      <c r="H174" s="53">
        <f>IFERROR(INDEX('Raw Data'!$H$2:$H$251,MATCH($A174,'Raw Data'!$Q$2:$Q$251,0)),"")</f>
        <v>5</v>
      </c>
      <c r="I174" s="19">
        <f>IFERROR(INDEX('Raw Data'!$N$2:$N$251,MATCH($A174,'Raw Data'!$Q$2:$Q$251,0)),"")</f>
        <v>749.95</v>
      </c>
    </row>
    <row r="175" spans="1:9" x14ac:dyDescent="0.35">
      <c r="A175" s="41">
        <v>8</v>
      </c>
      <c r="B175" s="17" t="str">
        <f>IFERROR(INDEX('Raw Data'!$A$2:$A$251,MATCH($A175,'Raw Data'!$Q$2:$Q$251,0)),"")</f>
        <v>TRX0240</v>
      </c>
      <c r="C175" s="18">
        <f>IFERROR(INDEX('Raw Data'!$B$2:$B$251,MATCH($A175,'Raw Data'!$Q$2:$Q$251,0)),"")</f>
        <v>45403</v>
      </c>
      <c r="D175" s="17" t="str">
        <f>IFERROR(INDEX('Raw Data'!$D$2:$D$251,MATCH($A175,'Raw Data'!$Q$2:$Q$251,0)),"")</f>
        <v>Charles Allen</v>
      </c>
      <c r="E175" s="17" t="str">
        <f>IFERROR(INDEX('Raw Data'!$F$2:$F$251,MATCH($A175,'Raw Data'!$Q$2:$Q$251,0)),"")</f>
        <v>Blender</v>
      </c>
      <c r="F175" s="17" t="str">
        <f>IFERROR(INDEX('Raw Data'!$K$2:$K$251,MATCH($A175,'Raw Data'!$Q$2:$Q$251,0)),"")</f>
        <v>South</v>
      </c>
      <c r="G175" s="17" t="str">
        <f>IFERROR(INDEX('Raw Data'!$G$2:$G$251,MATCH($A175,'Raw Data'!$Q$2:$Q$251,0)),"")</f>
        <v>Appliances</v>
      </c>
      <c r="H175" s="53">
        <f>IFERROR(INDEX('Raw Data'!$H$2:$H$251,MATCH($A175,'Raw Data'!$Q$2:$Q$251,0)),"")</f>
        <v>3</v>
      </c>
      <c r="I175" s="19">
        <f>IFERROR(INDEX('Raw Data'!$N$2:$N$251,MATCH($A175,'Raw Data'!$Q$2:$Q$251,0)),"")</f>
        <v>179.97</v>
      </c>
    </row>
    <row r="176" spans="1:9" x14ac:dyDescent="0.35">
      <c r="A176" s="41">
        <v>9</v>
      </c>
      <c r="B176" s="17" t="str">
        <f>IFERROR(INDEX('Raw Data'!$A$2:$A$251,MATCH($A176,'Raw Data'!$Q$2:$Q$251,0)),"")</f>
        <v>TRX0135</v>
      </c>
      <c r="C176" s="18">
        <f>IFERROR(INDEX('Raw Data'!$B$2:$B$251,MATCH($A176,'Raw Data'!$Q$2:$Q$251,0)),"")</f>
        <v>45405</v>
      </c>
      <c r="D176" s="17" t="str">
        <f>IFERROR(INDEX('Raw Data'!$D$2:$D$251,MATCH($A176,'Raw Data'!$Q$2:$Q$251,0)),"")</f>
        <v>Robert Thomas</v>
      </c>
      <c r="E176" s="17" t="str">
        <f>IFERROR(INDEX('Raw Data'!$F$2:$F$251,MATCH($A176,'Raw Data'!$Q$2:$Q$251,0)),"")</f>
        <v>Laptop</v>
      </c>
      <c r="F176" s="17" t="str">
        <f>IFERROR(INDEX('Raw Data'!$K$2:$K$251,MATCH($A176,'Raw Data'!$Q$2:$Q$251,0)),"")</f>
        <v>East</v>
      </c>
      <c r="G176" s="17" t="str">
        <f>IFERROR(INDEX('Raw Data'!$G$2:$G$251,MATCH($A176,'Raw Data'!$Q$2:$Q$251,0)),"")</f>
        <v>Electronics</v>
      </c>
      <c r="H176" s="53">
        <f>IFERROR(INDEX('Raw Data'!$H$2:$H$251,MATCH($A176,'Raw Data'!$Q$2:$Q$251,0)),"")</f>
        <v>3</v>
      </c>
      <c r="I176" s="19">
        <f>IFERROR(INDEX('Raw Data'!$N$2:$N$251,MATCH($A176,'Raw Data'!$Q$2:$Q$251,0)),"")</f>
        <v>2699.97</v>
      </c>
    </row>
    <row r="177" spans="1:9" x14ac:dyDescent="0.35">
      <c r="A177" s="41">
        <v>10</v>
      </c>
      <c r="B177" s="17" t="str">
        <f>IFERROR(INDEX('Raw Data'!$A$2:$A$251,MATCH($A177,'Raw Data'!$Q$2:$Q$251,0)),"")</f>
        <v>TRX0185</v>
      </c>
      <c r="C177" s="18">
        <f>IFERROR(INDEX('Raw Data'!$B$2:$B$251,MATCH($A177,'Raw Data'!$Q$2:$Q$251,0)),"")</f>
        <v>45408</v>
      </c>
      <c r="D177" s="17" t="str">
        <f>IFERROR(INDEX('Raw Data'!$D$2:$D$251,MATCH($A177,'Raw Data'!$Q$2:$Q$251,0)),"")</f>
        <v>Karen Hill</v>
      </c>
      <c r="E177" s="17" t="str">
        <f>IFERROR(INDEX('Raw Data'!$F$2:$F$251,MATCH($A177,'Raw Data'!$Q$2:$Q$251,0)),"")</f>
        <v>Blender</v>
      </c>
      <c r="F177" s="17" t="str">
        <f>IFERROR(INDEX('Raw Data'!$K$2:$K$251,MATCH($A177,'Raw Data'!$Q$2:$Q$251,0)),"")</f>
        <v>West</v>
      </c>
      <c r="G177" s="17" t="str">
        <f>IFERROR(INDEX('Raw Data'!$G$2:$G$251,MATCH($A177,'Raw Data'!$Q$2:$Q$251,0)),"")</f>
        <v>Appliances</v>
      </c>
      <c r="H177" s="53">
        <f>IFERROR(INDEX('Raw Data'!$H$2:$H$251,MATCH($A177,'Raw Data'!$Q$2:$Q$251,0)),"")</f>
        <v>3</v>
      </c>
      <c r="I177" s="19">
        <f>IFERROR(INDEX('Raw Data'!$N$2:$N$251,MATCH($A177,'Raw Data'!$Q$2:$Q$251,0)),"")</f>
        <v>179.97</v>
      </c>
    </row>
    <row r="178" spans="1:9" x14ac:dyDescent="0.35">
      <c r="A178" s="41">
        <v>11</v>
      </c>
      <c r="B178" s="17" t="str">
        <f>IFERROR(INDEX('Raw Data'!$A$2:$A$251,MATCH($A178,'Raw Data'!$Q$2:$Q$251,0)),"")</f>
        <v>TRX0138</v>
      </c>
      <c r="C178" s="18">
        <f>IFERROR(INDEX('Raw Data'!$B$2:$B$251,MATCH($A178,'Raw Data'!$Q$2:$Q$251,0)),"")</f>
        <v>45408</v>
      </c>
      <c r="D178" s="17" t="str">
        <f>IFERROR(INDEX('Raw Data'!$D$2:$D$251,MATCH($A178,'Raw Data'!$Q$2:$Q$251,0)),"")</f>
        <v>Susan Green</v>
      </c>
      <c r="E178" s="17" t="str">
        <f>IFERROR(INDEX('Raw Data'!$F$2:$F$251,MATCH($A178,'Raw Data'!$Q$2:$Q$251,0)),"")</f>
        <v>Bookshelf</v>
      </c>
      <c r="F178" s="17" t="str">
        <f>IFERROR(INDEX('Raw Data'!$K$2:$K$251,MATCH($A178,'Raw Data'!$Q$2:$Q$251,0)),"")</f>
        <v>West</v>
      </c>
      <c r="G178" s="17" t="str">
        <f>IFERROR(INDEX('Raw Data'!$G$2:$G$251,MATCH($A178,'Raw Data'!$Q$2:$Q$251,0)),"")</f>
        <v>Furniture</v>
      </c>
      <c r="H178" s="53">
        <f>IFERROR(INDEX('Raw Data'!$H$2:$H$251,MATCH($A178,'Raw Data'!$Q$2:$Q$251,0)),"")</f>
        <v>1</v>
      </c>
      <c r="I178" s="19">
        <f>IFERROR(INDEX('Raw Data'!$N$2:$N$251,MATCH($A178,'Raw Data'!$Q$2:$Q$251,0)),"")</f>
        <v>149.99</v>
      </c>
    </row>
    <row r="179" spans="1:9" x14ac:dyDescent="0.35">
      <c r="A179" s="41">
        <v>12</v>
      </c>
      <c r="B179" s="17" t="str">
        <f>IFERROR(INDEX('Raw Data'!$A$2:$A$251,MATCH($A179,'Raw Data'!$Q$2:$Q$251,0)),"")</f>
        <v>TRX0209</v>
      </c>
      <c r="C179" s="18">
        <f>IFERROR(INDEX('Raw Data'!$B$2:$B$251,MATCH($A179,'Raw Data'!$Q$2:$Q$251,0)),"")</f>
        <v>45408</v>
      </c>
      <c r="D179" s="17" t="str">
        <f>IFERROR(INDEX('Raw Data'!$D$2:$D$251,MATCH($A179,'Raw Data'!$Q$2:$Q$251,0)),"")</f>
        <v>Kathleen Bennett</v>
      </c>
      <c r="E179" s="17" t="str">
        <f>IFERROR(INDEX('Raw Data'!$F$2:$F$251,MATCH($A179,'Raw Data'!$Q$2:$Q$251,0)),"")</f>
        <v>Bookshelf</v>
      </c>
      <c r="F179" s="17" t="str">
        <f>IFERROR(INDEX('Raw Data'!$K$2:$K$251,MATCH($A179,'Raw Data'!$Q$2:$Q$251,0)),"")</f>
        <v>North</v>
      </c>
      <c r="G179" s="17" t="str">
        <f>IFERROR(INDEX('Raw Data'!$G$2:$G$251,MATCH($A179,'Raw Data'!$Q$2:$Q$251,0)),"")</f>
        <v>Furniture</v>
      </c>
      <c r="H179" s="53">
        <f>IFERROR(INDEX('Raw Data'!$H$2:$H$251,MATCH($A179,'Raw Data'!$Q$2:$Q$251,0)),"")</f>
        <v>5</v>
      </c>
      <c r="I179" s="19">
        <f>IFERROR(INDEX('Raw Data'!$N$2:$N$251,MATCH($A179,'Raw Data'!$Q$2:$Q$251,0)),"")</f>
        <v>749.95</v>
      </c>
    </row>
    <row r="180" spans="1:9" x14ac:dyDescent="0.35">
      <c r="A180" s="41">
        <v>13</v>
      </c>
      <c r="B180" s="17" t="str">
        <f>IFERROR(INDEX('Raw Data'!$A$2:$A$251,MATCH($A180,'Raw Data'!$Q$2:$Q$251,0)),"")</f>
        <v>TRX0246</v>
      </c>
      <c r="C180" s="18">
        <f>IFERROR(INDEX('Raw Data'!$B$2:$B$251,MATCH($A180,'Raw Data'!$Q$2:$Q$251,0)),"")</f>
        <v>45408</v>
      </c>
      <c r="D180" s="17" t="str">
        <f>IFERROR(INDEX('Raw Data'!$D$2:$D$251,MATCH($A180,'Raw Data'!$Q$2:$Q$251,0)),"")</f>
        <v>Peter Richardson</v>
      </c>
      <c r="E180" s="17" t="str">
        <f>IFERROR(INDEX('Raw Data'!$F$2:$F$251,MATCH($A180,'Raw Data'!$Q$2:$Q$251,0)),"")</f>
        <v>Bookshelf</v>
      </c>
      <c r="F180" s="17" t="str">
        <f>IFERROR(INDEX('Raw Data'!$K$2:$K$251,MATCH($A180,'Raw Data'!$Q$2:$Q$251,0)),"")</f>
        <v>North</v>
      </c>
      <c r="G180" s="17" t="str">
        <f>IFERROR(INDEX('Raw Data'!$G$2:$G$251,MATCH($A180,'Raw Data'!$Q$2:$Q$251,0)),"")</f>
        <v>Furniture</v>
      </c>
      <c r="H180" s="53">
        <f>IFERROR(INDEX('Raw Data'!$H$2:$H$251,MATCH($A180,'Raw Data'!$Q$2:$Q$251,0)),"")</f>
        <v>3</v>
      </c>
      <c r="I180" s="19">
        <f>IFERROR(INDEX('Raw Data'!$N$2:$N$251,MATCH($A180,'Raw Data'!$Q$2:$Q$251,0)),"")</f>
        <v>449.97</v>
      </c>
    </row>
    <row r="181" spans="1:9" x14ac:dyDescent="0.35">
      <c r="A181" s="41">
        <v>14</v>
      </c>
      <c r="B181" s="17" t="str">
        <f>IFERROR(INDEX('Raw Data'!$A$2:$A$251,MATCH($A181,'Raw Data'!$Q$2:$Q$251,0)),"")</f>
        <v>TRX0067</v>
      </c>
      <c r="C181" s="18">
        <f>IFERROR(INDEX('Raw Data'!$B$2:$B$251,MATCH($A181,'Raw Data'!$Q$2:$Q$251,0)),"")</f>
        <v>45409</v>
      </c>
      <c r="D181" s="17" t="str">
        <f>IFERROR(INDEX('Raw Data'!$D$2:$D$251,MATCH($A181,'Raw Data'!$Q$2:$Q$251,0)),"")</f>
        <v>Dennis Gray</v>
      </c>
      <c r="E181" s="17" t="str">
        <f>IFERROR(INDEX('Raw Data'!$F$2:$F$251,MATCH($A181,'Raw Data'!$Q$2:$Q$251,0)),"")</f>
        <v>Blender</v>
      </c>
      <c r="F181" s="17" t="str">
        <f>IFERROR(INDEX('Raw Data'!$K$2:$K$251,MATCH($A181,'Raw Data'!$Q$2:$Q$251,0)),"")</f>
        <v>North</v>
      </c>
      <c r="G181" s="17" t="str">
        <f>IFERROR(INDEX('Raw Data'!$G$2:$G$251,MATCH($A181,'Raw Data'!$Q$2:$Q$251,0)),"")</f>
        <v>Appliances</v>
      </c>
      <c r="H181" s="53">
        <f>IFERROR(INDEX('Raw Data'!$H$2:$H$251,MATCH($A181,'Raw Data'!$Q$2:$Q$251,0)),"")</f>
        <v>3</v>
      </c>
      <c r="I181" s="19">
        <f>IFERROR(INDEX('Raw Data'!$N$2:$N$251,MATCH($A181,'Raw Data'!$Q$2:$Q$251,0)),"")</f>
        <v>179.97</v>
      </c>
    </row>
    <row r="182" spans="1:9" x14ac:dyDescent="0.35">
      <c r="A182" s="41">
        <v>15</v>
      </c>
      <c r="B182" s="17" t="str">
        <f>IFERROR(INDEX('Raw Data'!$A$2:$A$251,MATCH($A182,'Raw Data'!$Q$2:$Q$251,0)),"")</f>
        <v>TRX0191</v>
      </c>
      <c r="C182" s="18">
        <f>IFERROR(INDEX('Raw Data'!$B$2:$B$251,MATCH($A182,'Raw Data'!$Q$2:$Q$251,0)),"")</f>
        <v>45409</v>
      </c>
      <c r="D182" s="17" t="str">
        <f>IFERROR(INDEX('Raw Data'!$D$2:$D$251,MATCH($A182,'Raw Data'!$Q$2:$Q$251,0)),"")</f>
        <v>Michelle Rogers</v>
      </c>
      <c r="E182" s="17" t="str">
        <f>IFERROR(INDEX('Raw Data'!$F$2:$F$251,MATCH($A182,'Raw Data'!$Q$2:$Q$251,0)),"")</f>
        <v>Smartphone</v>
      </c>
      <c r="F182" s="17" t="str">
        <f>IFERROR(INDEX('Raw Data'!$K$2:$K$251,MATCH($A182,'Raw Data'!$Q$2:$Q$251,0)),"")</f>
        <v>West</v>
      </c>
      <c r="G182" s="17" t="str">
        <f>IFERROR(INDEX('Raw Data'!$G$2:$G$251,MATCH($A182,'Raw Data'!$Q$2:$Q$251,0)),"")</f>
        <v>Electronics</v>
      </c>
      <c r="H182" s="53">
        <f>IFERROR(INDEX('Raw Data'!$H$2:$H$251,MATCH($A182,'Raw Data'!$Q$2:$Q$251,0)),"")</f>
        <v>3</v>
      </c>
      <c r="I182" s="19">
        <f>IFERROR(INDEX('Raw Data'!$N$2:$N$251,MATCH($A182,'Raw Data'!$Q$2:$Q$251,0)),"")</f>
        <v>2099.9699999999998</v>
      </c>
    </row>
    <row r="183" spans="1:9" x14ac:dyDescent="0.35">
      <c r="A183" s="24" t="s">
        <v>549</v>
      </c>
      <c r="C183" s="27">
        <f>MAX('Raw Data'!$Q$2:$Q$251)</f>
        <v>250</v>
      </c>
    </row>
    <row r="184" spans="1:9" x14ac:dyDescent="0.35">
      <c r="A184" s="24"/>
    </row>
  </sheetData>
  <conditionalFormatting sqref="C145:C154">
    <cfRule type="dataBar" priority="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{E10019D0-6BF0-40BD-8E59-1CB9B4F133F2}</x14:id>
        </ext>
      </extLst>
    </cfRule>
  </conditionalFormatting>
  <conditionalFormatting sqref="F75:F86">
    <cfRule type="iconSet" priority="2">
      <iconSet iconSet="3Arrows">
        <cfvo type="num" val="-1000000000"/>
        <cfvo type="num" val="-1E-4"/>
        <cfvo type="num" val="1E-4"/>
      </iconSet>
    </cfRule>
  </conditionalFormatting>
  <conditionalFormatting sqref="G91:G140">
    <cfRule type="cellIs" dxfId="2" priority="3" operator="equal">
      <formula>"High Value"</formula>
    </cfRule>
  </conditionalFormatting>
  <dataValidations count="2">
    <dataValidation type="list" sqref="C5" xr:uid="{00000000-0002-0000-0200-000000000000}">
      <formula1>"All,Central,East,North,South,West"</formula1>
      <formula2>0</formula2>
    </dataValidation>
    <dataValidation type="list" sqref="C6" xr:uid="{00000000-0002-0000-0200-000001000000}">
      <formula1>"All,Appliances,Electronics,Furniture"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0019D0-6BF0-40BD-8E59-1CB9B4F133F2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C145:C154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H61"/>
  <sheetViews>
    <sheetView zoomScaleNormal="100" workbookViewId="0">
      <selection activeCell="M30" sqref="M30"/>
    </sheetView>
  </sheetViews>
  <sheetFormatPr defaultColWidth="8.6328125" defaultRowHeight="14.5" x14ac:dyDescent="0.35"/>
  <cols>
    <col min="1" max="1" width="40" customWidth="1"/>
    <col min="2" max="2" width="18" customWidth="1"/>
    <col min="3" max="4" width="16" customWidth="1"/>
    <col min="5" max="5" width="14" customWidth="1"/>
    <col min="6" max="6" width="4" customWidth="1"/>
  </cols>
  <sheetData>
    <row r="1" spans="1:8" ht="20" x14ac:dyDescent="0.4">
      <c r="A1" s="23" t="s">
        <v>473</v>
      </c>
    </row>
    <row r="3" spans="1:8" ht="15.5" x14ac:dyDescent="0.35">
      <c r="A3" s="25" t="s">
        <v>474</v>
      </c>
      <c r="B3" s="26"/>
      <c r="C3" s="26"/>
      <c r="D3" s="26"/>
      <c r="E3" s="26"/>
      <c r="F3" s="26"/>
      <c r="G3" s="26"/>
      <c r="H3" s="26"/>
    </row>
    <row r="5" spans="1:8" x14ac:dyDescent="0.35">
      <c r="A5" s="27" t="s">
        <v>475</v>
      </c>
      <c r="C5" s="28">
        <v>2</v>
      </c>
    </row>
    <row r="7" spans="1:8" x14ac:dyDescent="0.35">
      <c r="A7" s="15" t="s">
        <v>476</v>
      </c>
      <c r="B7" s="15" t="s">
        <v>477</v>
      </c>
      <c r="C7" s="15" t="s">
        <v>478</v>
      </c>
      <c r="D7" s="15" t="s">
        <v>479</v>
      </c>
      <c r="E7" s="15" t="s">
        <v>480</v>
      </c>
    </row>
    <row r="8" spans="1:8" x14ac:dyDescent="0.35">
      <c r="A8" s="29" t="s">
        <v>481</v>
      </c>
      <c r="B8" s="54">
        <v>-0.1</v>
      </c>
      <c r="C8" s="54">
        <v>0</v>
      </c>
      <c r="D8" s="54">
        <v>0.15</v>
      </c>
      <c r="E8" s="55">
        <f>CHOOSE($C$5,B8,C8,D8)</f>
        <v>0</v>
      </c>
    </row>
    <row r="9" spans="1:8" x14ac:dyDescent="0.35">
      <c r="A9" s="29" t="s">
        <v>482</v>
      </c>
      <c r="B9" s="54">
        <v>-0.05</v>
      </c>
      <c r="C9" s="54">
        <v>0</v>
      </c>
      <c r="D9" s="54">
        <v>0.05</v>
      </c>
      <c r="E9" s="55">
        <f>CHOOSE($C$5,B9,C9,D9)</f>
        <v>0</v>
      </c>
    </row>
    <row r="10" spans="1:8" x14ac:dyDescent="0.35">
      <c r="A10" s="29" t="s">
        <v>483</v>
      </c>
      <c r="B10" s="54">
        <v>0.7</v>
      </c>
      <c r="C10" s="54">
        <v>0.65</v>
      </c>
      <c r="D10" s="54">
        <v>0.6</v>
      </c>
      <c r="E10" s="55">
        <f>CHOOSE($C$5,B10,C10,D10)</f>
        <v>0.65</v>
      </c>
    </row>
    <row r="11" spans="1:8" x14ac:dyDescent="0.35">
      <c r="A11" s="29" t="s">
        <v>484</v>
      </c>
      <c r="B11" s="56">
        <v>60000</v>
      </c>
      <c r="C11" s="56">
        <v>55000</v>
      </c>
      <c r="D11" s="56">
        <v>50000</v>
      </c>
      <c r="E11" s="42">
        <f>CHOOSE($C$5,B11,C11,D11)</f>
        <v>55000</v>
      </c>
    </row>
    <row r="13" spans="1:8" x14ac:dyDescent="0.35">
      <c r="A13" s="29" t="s">
        <v>485</v>
      </c>
      <c r="E13" s="42">
        <f>Analysis!C17</f>
        <v>229192.47000000032</v>
      </c>
    </row>
    <row r="14" spans="1:8" x14ac:dyDescent="0.35">
      <c r="A14" s="29" t="s">
        <v>486</v>
      </c>
      <c r="E14" s="42">
        <f>E13*(1+E8)*(1+E9)</f>
        <v>229192.47000000032</v>
      </c>
    </row>
    <row r="15" spans="1:8" x14ac:dyDescent="0.35">
      <c r="A15" s="29" t="s">
        <v>487</v>
      </c>
      <c r="E15" s="42">
        <f>E14*E10</f>
        <v>148975.10550000021</v>
      </c>
    </row>
    <row r="16" spans="1:8" x14ac:dyDescent="0.35">
      <c r="A16" s="29" t="s">
        <v>488</v>
      </c>
      <c r="E16" s="42">
        <f>E11</f>
        <v>55000</v>
      </c>
    </row>
    <row r="17" spans="1:8" x14ac:dyDescent="0.35">
      <c r="A17" s="27" t="s">
        <v>489</v>
      </c>
      <c r="E17" s="42">
        <f>E14-E15-E16</f>
        <v>25217.364500000112</v>
      </c>
    </row>
    <row r="18" spans="1:8" x14ac:dyDescent="0.35">
      <c r="A18" s="29" t="s">
        <v>490</v>
      </c>
      <c r="E18" s="44">
        <f>IFERROR(E17/E14,0)</f>
        <v>0.11002702008490976</v>
      </c>
    </row>
    <row r="19" spans="1:8" x14ac:dyDescent="0.35">
      <c r="A19" s="24"/>
    </row>
    <row r="21" spans="1:8" x14ac:dyDescent="0.35">
      <c r="A21" s="15" t="s">
        <v>491</v>
      </c>
      <c r="B21" s="15" t="s">
        <v>428</v>
      </c>
      <c r="C21" s="15" t="s">
        <v>492</v>
      </c>
    </row>
    <row r="22" spans="1:8" x14ac:dyDescent="0.35">
      <c r="A22" s="29" t="s">
        <v>493</v>
      </c>
      <c r="B22" s="38">
        <f>$E$13*(1+B8)*(1+B9)</f>
        <v>195959.56185000026</v>
      </c>
      <c r="C22" s="38">
        <f>B22-B22*B10-B11</f>
        <v>-1212.131444999919</v>
      </c>
    </row>
    <row r="23" spans="1:8" x14ac:dyDescent="0.35">
      <c r="A23" s="29" t="s">
        <v>494</v>
      </c>
      <c r="B23" s="38">
        <f>$E$13*(1+C8)*(1+C9)</f>
        <v>229192.47000000032</v>
      </c>
      <c r="C23" s="38">
        <f>B23-B23*C10-C11</f>
        <v>25217.364500000112</v>
      </c>
    </row>
    <row r="24" spans="1:8" x14ac:dyDescent="0.35">
      <c r="A24" s="29" t="s">
        <v>495</v>
      </c>
      <c r="B24" s="38">
        <f>$E$13*(1+D8)*(1+D9)</f>
        <v>276749.9075250004</v>
      </c>
      <c r="C24" s="38">
        <f>B24-B24*D10-D11</f>
        <v>60699.963010000152</v>
      </c>
    </row>
    <row r="27" spans="1:8" ht="15.5" x14ac:dyDescent="0.35">
      <c r="A27" s="25" t="s">
        <v>496</v>
      </c>
      <c r="B27" s="26"/>
      <c r="C27" s="26"/>
      <c r="D27" s="26"/>
      <c r="E27" s="26"/>
      <c r="F27" s="26"/>
      <c r="G27" s="26"/>
      <c r="H27" s="26"/>
    </row>
    <row r="29" spans="1:8" x14ac:dyDescent="0.35">
      <c r="A29" s="29" t="s">
        <v>497</v>
      </c>
      <c r="C29" s="57">
        <v>275000</v>
      </c>
    </row>
    <row r="30" spans="1:8" x14ac:dyDescent="0.35">
      <c r="A30" s="29" t="s">
        <v>498</v>
      </c>
      <c r="C30" s="42">
        <f>Analysis!C17</f>
        <v>229192.47000000032</v>
      </c>
    </row>
    <row r="31" spans="1:8" x14ac:dyDescent="0.35">
      <c r="A31" s="29" t="s">
        <v>499</v>
      </c>
      <c r="C31" s="44">
        <f>C29/C30-1</f>
        <v>0.19986489957545128</v>
      </c>
    </row>
    <row r="32" spans="1:8" x14ac:dyDescent="0.35">
      <c r="A32" s="29" t="s">
        <v>500</v>
      </c>
      <c r="C32" s="58">
        <f>Analysis!C19*C29/C30</f>
        <v>1100</v>
      </c>
    </row>
    <row r="33" spans="1:8" x14ac:dyDescent="0.35">
      <c r="A33" s="29" t="s">
        <v>501</v>
      </c>
      <c r="C33" s="42">
        <f>C30*(1+C31)</f>
        <v>275000</v>
      </c>
    </row>
    <row r="34" spans="1:8" x14ac:dyDescent="0.35">
      <c r="A34" s="24"/>
    </row>
    <row r="36" spans="1:8" ht="15.5" x14ac:dyDescent="0.35">
      <c r="A36" s="25" t="s">
        <v>502</v>
      </c>
      <c r="B36" s="26"/>
      <c r="C36" s="26"/>
      <c r="D36" s="26"/>
      <c r="E36" s="26"/>
      <c r="F36" s="26"/>
      <c r="G36" s="26"/>
      <c r="H36" s="26"/>
    </row>
    <row r="37" spans="1:8" x14ac:dyDescent="0.35">
      <c r="A37" s="15" t="s">
        <v>503</v>
      </c>
      <c r="B37" s="15" t="s">
        <v>504</v>
      </c>
      <c r="C37" s="15" t="s">
        <v>505</v>
      </c>
      <c r="D37" s="15" t="s">
        <v>506</v>
      </c>
      <c r="E37" s="15" t="s">
        <v>507</v>
      </c>
    </row>
    <row r="38" spans="1:8" x14ac:dyDescent="0.35">
      <c r="A38" s="41">
        <v>1</v>
      </c>
      <c r="B38" s="45">
        <f>Analysis!A74</f>
        <v>45383</v>
      </c>
      <c r="C38" s="38">
        <f>Analysis!C74</f>
        <v>20919.330000000002</v>
      </c>
      <c r="D38" s="38">
        <f t="shared" ref="D38:D49" si="0">$C$52+$C$51*A38</f>
        <v>17640.445769230766</v>
      </c>
      <c r="E38" s="59">
        <f t="shared" ref="E38:E49" si="1">C38-D38</f>
        <v>3278.8842307692357</v>
      </c>
    </row>
    <row r="39" spans="1:8" x14ac:dyDescent="0.35">
      <c r="A39" s="41">
        <v>2</v>
      </c>
      <c r="B39" s="45">
        <f>Analysis!A75</f>
        <v>45413</v>
      </c>
      <c r="C39" s="38">
        <f>Analysis!C75</f>
        <v>17039.349999999999</v>
      </c>
      <c r="D39" s="38">
        <f t="shared" si="0"/>
        <v>17799.950174825171</v>
      </c>
      <c r="E39" s="59">
        <f t="shared" si="1"/>
        <v>-760.60017482517287</v>
      </c>
    </row>
    <row r="40" spans="1:8" x14ac:dyDescent="0.35">
      <c r="A40" s="41">
        <v>3</v>
      </c>
      <c r="B40" s="45">
        <f>Analysis!A76</f>
        <v>45444</v>
      </c>
      <c r="C40" s="38">
        <f>Analysis!C76</f>
        <v>19299.45</v>
      </c>
      <c r="D40" s="38">
        <f t="shared" si="0"/>
        <v>17959.454580419577</v>
      </c>
      <c r="E40" s="59">
        <f t="shared" si="1"/>
        <v>1339.9954195804239</v>
      </c>
    </row>
    <row r="41" spans="1:8" x14ac:dyDescent="0.35">
      <c r="A41" s="41">
        <v>4</v>
      </c>
      <c r="B41" s="45">
        <f>Analysis!A77</f>
        <v>45474</v>
      </c>
      <c r="C41" s="38">
        <f>Analysis!C77</f>
        <v>18479.399999999994</v>
      </c>
      <c r="D41" s="38">
        <f t="shared" si="0"/>
        <v>18118.958986013982</v>
      </c>
      <c r="E41" s="59">
        <f t="shared" si="1"/>
        <v>360.44101398601197</v>
      </c>
    </row>
    <row r="42" spans="1:8" x14ac:dyDescent="0.35">
      <c r="A42" s="41">
        <v>5</v>
      </c>
      <c r="B42" s="45">
        <f>Analysis!A78</f>
        <v>45505</v>
      </c>
      <c r="C42" s="38">
        <f>Analysis!C78</f>
        <v>15759.429999999997</v>
      </c>
      <c r="D42" s="38">
        <f t="shared" si="0"/>
        <v>18278.463391608388</v>
      </c>
      <c r="E42" s="59">
        <f t="shared" si="1"/>
        <v>-2519.033391608391</v>
      </c>
    </row>
    <row r="43" spans="1:8" x14ac:dyDescent="0.35">
      <c r="A43" s="41">
        <v>6</v>
      </c>
      <c r="B43" s="45">
        <f>Analysis!A79</f>
        <v>45536</v>
      </c>
      <c r="C43" s="38">
        <f>Analysis!C79</f>
        <v>12989.509999999997</v>
      </c>
      <c r="D43" s="38">
        <f t="shared" si="0"/>
        <v>18437.967797202793</v>
      </c>
      <c r="E43" s="59">
        <f t="shared" si="1"/>
        <v>-5448.4577972027964</v>
      </c>
    </row>
    <row r="44" spans="1:8" x14ac:dyDescent="0.35">
      <c r="A44" s="41">
        <v>7</v>
      </c>
      <c r="B44" s="45">
        <f>Analysis!A80</f>
        <v>45566</v>
      </c>
      <c r="C44" s="38">
        <f>Analysis!C80</f>
        <v>20609.52</v>
      </c>
      <c r="D44" s="38">
        <f t="shared" si="0"/>
        <v>18597.472202797198</v>
      </c>
      <c r="E44" s="59">
        <f t="shared" si="1"/>
        <v>2012.047797202802</v>
      </c>
    </row>
    <row r="45" spans="1:8" x14ac:dyDescent="0.35">
      <c r="A45" s="41">
        <v>8</v>
      </c>
      <c r="B45" s="45">
        <f>Analysis!A81</f>
        <v>45597</v>
      </c>
      <c r="C45" s="38">
        <f>Analysis!C81</f>
        <v>12309.439999999999</v>
      </c>
      <c r="D45" s="38">
        <f t="shared" si="0"/>
        <v>18756.976608391604</v>
      </c>
      <c r="E45" s="59">
        <f t="shared" si="1"/>
        <v>-6447.5366083916051</v>
      </c>
    </row>
    <row r="46" spans="1:8" x14ac:dyDescent="0.35">
      <c r="A46" s="41">
        <v>9</v>
      </c>
      <c r="B46" s="45">
        <f>Analysis!A82</f>
        <v>45627</v>
      </c>
      <c r="C46" s="38">
        <f>Analysis!C82</f>
        <v>23039.3</v>
      </c>
      <c r="D46" s="38">
        <f t="shared" si="0"/>
        <v>18916.481013986009</v>
      </c>
      <c r="E46" s="59">
        <f t="shared" si="1"/>
        <v>4122.8189860139901</v>
      </c>
    </row>
    <row r="47" spans="1:8" x14ac:dyDescent="0.35">
      <c r="A47" s="41">
        <v>10</v>
      </c>
      <c r="B47" s="45">
        <f>Analysis!A83</f>
        <v>45658</v>
      </c>
      <c r="C47" s="38">
        <f>Analysis!C83</f>
        <v>25799.15</v>
      </c>
      <c r="D47" s="38">
        <f t="shared" si="0"/>
        <v>19075.985419580415</v>
      </c>
      <c r="E47" s="59">
        <f t="shared" si="1"/>
        <v>6723.1645804195869</v>
      </c>
    </row>
    <row r="48" spans="1:8" x14ac:dyDescent="0.35">
      <c r="A48" s="41">
        <v>11</v>
      </c>
      <c r="B48" s="45">
        <f>Analysis!A84</f>
        <v>45689</v>
      </c>
      <c r="C48" s="38">
        <f>Analysis!C84</f>
        <v>16069.379999999997</v>
      </c>
      <c r="D48" s="38">
        <f t="shared" si="0"/>
        <v>19235.48982517482</v>
      </c>
      <c r="E48" s="59">
        <f t="shared" si="1"/>
        <v>-3166.1098251748226</v>
      </c>
    </row>
    <row r="49" spans="1:5" x14ac:dyDescent="0.35">
      <c r="A49" s="41">
        <v>12</v>
      </c>
      <c r="B49" s="45">
        <f>Analysis!A85</f>
        <v>45717</v>
      </c>
      <c r="C49" s="38">
        <f>Analysis!C85</f>
        <v>19899.379999999997</v>
      </c>
      <c r="D49" s="38">
        <f t="shared" si="0"/>
        <v>19394.994230769225</v>
      </c>
      <c r="E49" s="59">
        <f t="shared" si="1"/>
        <v>504.38576923077198</v>
      </c>
    </row>
    <row r="51" spans="1:5" x14ac:dyDescent="0.35">
      <c r="A51" s="29" t="s">
        <v>508</v>
      </c>
      <c r="C51" s="58">
        <f>SLOPE(C38:C49,A38:A49)</f>
        <v>159.50440559440551</v>
      </c>
    </row>
    <row r="52" spans="1:5" x14ac:dyDescent="0.35">
      <c r="A52" s="29" t="s">
        <v>509</v>
      </c>
      <c r="C52" s="58">
        <f>INTERCEPT(C38:C49,A38:A49)</f>
        <v>17480.941363636361</v>
      </c>
    </row>
    <row r="53" spans="1:5" x14ac:dyDescent="0.35">
      <c r="A53" s="29" t="s">
        <v>510</v>
      </c>
      <c r="C53" s="60">
        <f>RSQ(C38:C49,A38:A49)</f>
        <v>2.1273185474349424E-2</v>
      </c>
    </row>
    <row r="54" spans="1:5" x14ac:dyDescent="0.35">
      <c r="A54" s="29" t="s">
        <v>511</v>
      </c>
      <c r="C54" s="42">
        <f>STEYX(C38:C49,A38:A49)</f>
        <v>4091.2421209288577</v>
      </c>
    </row>
    <row r="55" spans="1:5" x14ac:dyDescent="0.35">
      <c r="A55" s="29" t="s">
        <v>512</v>
      </c>
      <c r="C55" s="60">
        <f>CORREL(A38:A49,C38:C49)</f>
        <v>0.14585330121169499</v>
      </c>
    </row>
    <row r="56" spans="1:5" x14ac:dyDescent="0.35">
      <c r="A56" s="29" t="s">
        <v>513</v>
      </c>
      <c r="C56" s="42">
        <f>C52+C51*13</f>
        <v>19554.498636363631</v>
      </c>
    </row>
    <row r="57" spans="1:5" x14ac:dyDescent="0.35">
      <c r="A57" s="29" t="s">
        <v>514</v>
      </c>
      <c r="C57" s="42">
        <f>C52+C51*14</f>
        <v>19714.003041958036</v>
      </c>
    </row>
    <row r="59" spans="1:5" x14ac:dyDescent="0.35">
      <c r="A59" s="27"/>
    </row>
    <row r="60" spans="1:5" x14ac:dyDescent="0.35">
      <c r="A60" s="29"/>
    </row>
    <row r="61" spans="1:5" x14ac:dyDescent="0.35">
      <c r="A61" s="24"/>
    </row>
  </sheetData>
  <dataValidations count="1">
    <dataValidation type="list" sqref="C5" xr:uid="{00000000-0002-0000-03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"/>
  <sheetViews>
    <sheetView showGridLines="0" zoomScaleNormal="100" workbookViewId="0">
      <selection activeCell="G40" sqref="G40"/>
    </sheetView>
  </sheetViews>
  <sheetFormatPr defaultColWidth="8.6328125" defaultRowHeight="14.5" x14ac:dyDescent="0.35"/>
  <sheetData>
    <row r="1" spans="1:1" ht="20" x14ac:dyDescent="0.4">
      <c r="A1" s="23" t="s">
        <v>515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X61"/>
  <sheetViews>
    <sheetView showGridLines="0" zoomScale="85" zoomScaleNormal="85" workbookViewId="0">
      <selection activeCell="A19" sqref="A19"/>
    </sheetView>
  </sheetViews>
  <sheetFormatPr defaultColWidth="8.6328125" defaultRowHeight="14.5" x14ac:dyDescent="0.35"/>
  <cols>
    <col min="1" max="24" width="7.6328125" customWidth="1"/>
  </cols>
  <sheetData>
    <row r="1" spans="1:24" ht="24" customHeight="1" x14ac:dyDescent="0.35">
      <c r="A1" s="14" t="s">
        <v>516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3" t="str">
        <f ca="1">"Report date: "&amp;TEXT(Analysis!C7,"dd-mmm-yyyy")</f>
        <v>Report date: 15-Oct-2026</v>
      </c>
      <c r="R1" s="13"/>
      <c r="S1" s="13"/>
      <c r="T1" s="13"/>
      <c r="U1" s="13"/>
      <c r="V1" s="13"/>
      <c r="W1" s="13"/>
      <c r="X1" s="13"/>
    </row>
    <row r="2" spans="1:24" ht="24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3"/>
      <c r="R2" s="13"/>
      <c r="S2" s="13"/>
      <c r="T2" s="13"/>
      <c r="U2" s="13"/>
      <c r="V2" s="13"/>
      <c r="W2" s="13"/>
      <c r="X2" s="13"/>
    </row>
    <row r="3" spans="1:24" x14ac:dyDescent="0.35">
      <c r="A3" s="12" t="str">
        <f>"Customer transaction analysis  |  Data period: "&amp;TEXT(Analysis!C9,"dd-mmm-yyyy")&amp;" to "&amp;TEXT(Analysis!C10,"dd-mmm-yyyy")</f>
        <v>Customer transaction analysis  |  Data period: 11-Apr-2024 to 11-Apr-2025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35">
      <c r="A4" s="61" t="s">
        <v>517</v>
      </c>
      <c r="B4" s="62"/>
      <c r="C4" s="62"/>
      <c r="D4" s="11" t="str">
        <f>"Region: "&amp;Analysis!C5</f>
        <v>Region: All</v>
      </c>
      <c r="E4" s="11"/>
      <c r="F4" s="11"/>
      <c r="G4" s="11" t="str">
        <f>"Category: "&amp;Analysis!C6</f>
        <v>Category: All</v>
      </c>
      <c r="H4" s="11"/>
      <c r="I4" s="11"/>
      <c r="J4" s="11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6" spans="1:24" ht="6" customHeight="1" x14ac:dyDescent="0.35"/>
    <row r="7" spans="1:24" ht="19.5" customHeight="1" x14ac:dyDescent="0.35">
      <c r="A7" s="9" t="s">
        <v>518</v>
      </c>
      <c r="B7" s="9"/>
      <c r="C7" s="9"/>
      <c r="D7" s="9"/>
      <c r="E7" s="8" t="s">
        <v>519</v>
      </c>
      <c r="F7" s="8"/>
      <c r="G7" s="8"/>
      <c r="H7" s="8"/>
      <c r="I7" s="7" t="s">
        <v>520</v>
      </c>
      <c r="J7" s="7"/>
      <c r="K7" s="7"/>
      <c r="L7" s="7"/>
      <c r="M7" s="6" t="s">
        <v>521</v>
      </c>
      <c r="N7" s="6"/>
      <c r="O7" s="6"/>
      <c r="P7" s="6"/>
      <c r="Q7" s="5" t="s">
        <v>522</v>
      </c>
      <c r="R7" s="5"/>
      <c r="S7" s="5"/>
      <c r="T7" s="5"/>
      <c r="U7" s="4" t="s">
        <v>523</v>
      </c>
      <c r="V7" s="4"/>
      <c r="W7" s="4"/>
      <c r="X7" s="4"/>
    </row>
    <row r="8" spans="1:24" ht="21.75" customHeight="1" x14ac:dyDescent="0.35">
      <c r="A8" s="3">
        <f>Analysis!C17</f>
        <v>229192.47000000032</v>
      </c>
      <c r="B8" s="3"/>
      <c r="C8" s="3"/>
      <c r="D8" s="3"/>
      <c r="E8" s="2">
        <f>Analysis!C18</f>
        <v>250</v>
      </c>
      <c r="F8" s="2"/>
      <c r="G8" s="2"/>
      <c r="H8" s="2"/>
      <c r="I8" s="1">
        <f>Analysis!C19</f>
        <v>916.76988000000131</v>
      </c>
      <c r="J8" s="1"/>
      <c r="K8" s="1"/>
      <c r="L8" s="1"/>
      <c r="M8" s="68">
        <f>Analysis!C21</f>
        <v>50.000000000000028</v>
      </c>
      <c r="N8" s="68"/>
      <c r="O8" s="68"/>
      <c r="P8" s="68"/>
      <c r="Q8" s="69">
        <f>Analysis!C22</f>
        <v>229192.47000000032</v>
      </c>
      <c r="R8" s="69"/>
      <c r="S8" s="69"/>
      <c r="T8" s="69"/>
      <c r="U8" s="70" t="str">
        <f>INDEX(Analysis!A28:A32,MATCH(1,Analysis!G28:G32,0))</f>
        <v>East</v>
      </c>
      <c r="V8" s="70"/>
      <c r="W8" s="70"/>
      <c r="X8" s="70"/>
    </row>
    <row r="9" spans="1:24" ht="21.75" customHeight="1" x14ac:dyDescent="0.35">
      <c r="A9" s="3"/>
      <c r="B9" s="3"/>
      <c r="C9" s="3"/>
      <c r="D9" s="3"/>
      <c r="E9" s="2"/>
      <c r="F9" s="2"/>
      <c r="G9" s="2"/>
      <c r="H9" s="2"/>
      <c r="I9" s="1"/>
      <c r="J9" s="1"/>
      <c r="K9" s="1"/>
      <c r="L9" s="1"/>
      <c r="M9" s="68"/>
      <c r="N9" s="68"/>
      <c r="O9" s="68"/>
      <c r="P9" s="68"/>
      <c r="Q9" s="69"/>
      <c r="R9" s="69"/>
      <c r="S9" s="69"/>
      <c r="T9" s="69"/>
      <c r="U9" s="70"/>
      <c r="V9" s="70"/>
      <c r="W9" s="70"/>
      <c r="X9" s="70"/>
    </row>
    <row r="10" spans="1:24" x14ac:dyDescent="0.35">
      <c r="A10" s="71" t="str">
        <f>"from "&amp;Analysis!C18&amp;" orders"</f>
        <v>from 250 orders</v>
      </c>
      <c r="B10" s="71"/>
      <c r="C10" s="71"/>
      <c r="D10" s="71"/>
      <c r="E10" s="71" t="str">
        <f>"Units sold: "&amp;TEXT(Analysis!C20,"#,##0")</f>
        <v>Units sold: 753</v>
      </c>
      <c r="F10" s="71"/>
      <c r="G10" s="71"/>
      <c r="H10" s="71"/>
      <c r="I10" s="71" t="s">
        <v>524</v>
      </c>
      <c r="J10" s="71"/>
      <c r="K10" s="71"/>
      <c r="L10" s="71"/>
      <c r="M10" s="71" t="str">
        <f>"Repeat rate "&amp;TEXT(Analysis!C161,"0%")</f>
        <v>Repeat rate 94%</v>
      </c>
      <c r="N10" s="71"/>
      <c r="O10" s="71"/>
      <c r="P10" s="71"/>
      <c r="Q10" s="71" t="str">
        <f>"Selected: "&amp;Analysis!C5&amp;" / "&amp;Analysis!C6</f>
        <v>Selected: All / All</v>
      </c>
      <c r="R10" s="71"/>
      <c r="S10" s="71"/>
      <c r="T10" s="71"/>
      <c r="U10" s="71" t="str">
        <f>TEXT(MAX(Analysis!B28:B32),"$#,##0")&amp;" revenue"</f>
        <v>$59,288 revenue</v>
      </c>
      <c r="V10" s="71"/>
      <c r="W10" s="71"/>
      <c r="X10" s="71"/>
    </row>
    <row r="12" spans="1:24" x14ac:dyDescent="0.35">
      <c r="A12" s="72" t="s">
        <v>525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 t="s">
        <v>526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</row>
    <row r="13" spans="1:24" x14ac:dyDescent="0.35">
      <c r="A13" s="73" t="s">
        <v>527</v>
      </c>
      <c r="B13" s="73"/>
      <c r="C13" s="73"/>
      <c r="D13" s="73"/>
      <c r="E13" s="73" t="s">
        <v>528</v>
      </c>
      <c r="F13" s="73"/>
      <c r="G13" s="73" t="s">
        <v>529</v>
      </c>
      <c r="H13" s="73"/>
      <c r="I13" s="73" t="s">
        <v>530</v>
      </c>
      <c r="J13" s="73"/>
      <c r="K13" s="73" t="s">
        <v>531</v>
      </c>
      <c r="L13" s="73"/>
      <c r="M13" s="63" t="s">
        <v>470</v>
      </c>
      <c r="N13" s="73" t="s">
        <v>459</v>
      </c>
      <c r="O13" s="73"/>
      <c r="P13" s="73"/>
      <c r="Q13" s="73"/>
      <c r="R13" s="73"/>
      <c r="S13" s="73" t="s">
        <v>428</v>
      </c>
      <c r="T13" s="73"/>
      <c r="U13" s="73"/>
      <c r="V13" s="73" t="s">
        <v>532</v>
      </c>
      <c r="W13" s="73"/>
      <c r="X13" s="73"/>
    </row>
    <row r="14" spans="1:24" ht="19.5" customHeight="1" x14ac:dyDescent="0.35">
      <c r="A14" s="74" t="s">
        <v>420</v>
      </c>
      <c r="B14" s="74"/>
      <c r="C14" s="74"/>
      <c r="D14" s="74"/>
      <c r="E14" s="75">
        <f>Analysis!C17</f>
        <v>229192.47000000032</v>
      </c>
      <c r="F14" s="75"/>
      <c r="G14" s="76">
        <v>250000</v>
      </c>
      <c r="H14" s="76"/>
      <c r="I14" s="77">
        <f>E14/G14</f>
        <v>0.91676988000000126</v>
      </c>
      <c r="J14" s="77"/>
      <c r="K14" s="78">
        <f>I14</f>
        <v>0.91676988000000126</v>
      </c>
      <c r="L14" s="78"/>
      <c r="M14" s="64">
        <v>1</v>
      </c>
      <c r="N14" s="79" t="str">
        <f>Analysis!B145</f>
        <v>Mark Carter</v>
      </c>
      <c r="O14" s="79"/>
      <c r="P14" s="79"/>
      <c r="Q14" s="79"/>
      <c r="R14" s="79"/>
      <c r="S14" s="75">
        <f>Analysis!C145</f>
        <v>15659.65</v>
      </c>
      <c r="T14" s="75"/>
      <c r="U14" s="75"/>
      <c r="V14" s="80">
        <f>Analysis!E145</f>
        <v>6.8325324998678966E-2</v>
      </c>
      <c r="W14" s="80"/>
      <c r="X14" s="80"/>
    </row>
    <row r="15" spans="1:24" ht="19.5" customHeight="1" x14ac:dyDescent="0.35">
      <c r="A15" s="81" t="s">
        <v>533</v>
      </c>
      <c r="B15" s="81"/>
      <c r="C15" s="81"/>
      <c r="D15" s="81"/>
      <c r="E15" s="82">
        <f>Analysis!C19</f>
        <v>916.76988000000131</v>
      </c>
      <c r="F15" s="82"/>
      <c r="G15" s="83">
        <v>900</v>
      </c>
      <c r="H15" s="83"/>
      <c r="I15" s="84">
        <f>E15/G15</f>
        <v>1.0186332000000013</v>
      </c>
      <c r="J15" s="84"/>
      <c r="K15" s="85">
        <f>I15</f>
        <v>1.0186332000000013</v>
      </c>
      <c r="L15" s="85"/>
      <c r="M15" s="65">
        <v>2</v>
      </c>
      <c r="N15" s="86" t="str">
        <f>Analysis!B146</f>
        <v>Edward Mitchell</v>
      </c>
      <c r="O15" s="86"/>
      <c r="P15" s="86"/>
      <c r="Q15" s="86"/>
      <c r="R15" s="86"/>
      <c r="S15" s="82">
        <f>Analysis!C146</f>
        <v>11919.769999999999</v>
      </c>
      <c r="T15" s="82"/>
      <c r="U15" s="82"/>
      <c r="V15" s="87">
        <f>Analysis!E146</f>
        <v>5.2007685941863543E-2</v>
      </c>
      <c r="W15" s="87"/>
      <c r="X15" s="87"/>
    </row>
    <row r="16" spans="1:24" ht="19.5" customHeight="1" x14ac:dyDescent="0.35">
      <c r="A16" s="74" t="s">
        <v>534</v>
      </c>
      <c r="B16" s="74"/>
      <c r="C16" s="74"/>
      <c r="D16" s="74"/>
      <c r="E16" s="77">
        <f>Analysis!C161</f>
        <v>0.9399999999999995</v>
      </c>
      <c r="F16" s="77"/>
      <c r="G16" s="88">
        <v>0.9</v>
      </c>
      <c r="H16" s="88"/>
      <c r="I16" s="77">
        <f>E16/G16</f>
        <v>1.0444444444444438</v>
      </c>
      <c r="J16" s="77"/>
      <c r="K16" s="78">
        <f>I16</f>
        <v>1.0444444444444438</v>
      </c>
      <c r="L16" s="78"/>
      <c r="M16" s="64">
        <v>3</v>
      </c>
      <c r="N16" s="79" t="str">
        <f>Analysis!B147</f>
        <v>Barbara Young</v>
      </c>
      <c r="O16" s="79"/>
      <c r="P16" s="79"/>
      <c r="Q16" s="79"/>
      <c r="R16" s="79"/>
      <c r="S16" s="75">
        <f>Analysis!C147</f>
        <v>10649.8</v>
      </c>
      <c r="T16" s="75"/>
      <c r="U16" s="75"/>
      <c r="V16" s="80">
        <f>Analysis!E147</f>
        <v>4.6466622572722327E-2</v>
      </c>
      <c r="W16" s="80"/>
      <c r="X16" s="80"/>
    </row>
    <row r="17" spans="1:24" ht="19.5" customHeight="1" x14ac:dyDescent="0.35">
      <c r="A17" s="81" t="s">
        <v>429</v>
      </c>
      <c r="B17" s="81"/>
      <c r="C17" s="81"/>
      <c r="D17" s="81"/>
      <c r="E17" s="89">
        <f>Analysis!C18</f>
        <v>250</v>
      </c>
      <c r="F17" s="89"/>
      <c r="G17" s="90">
        <v>350</v>
      </c>
      <c r="H17" s="90"/>
      <c r="I17" s="84">
        <f>E17/G17</f>
        <v>0.7142857142857143</v>
      </c>
      <c r="J17" s="84"/>
      <c r="K17" s="85">
        <f>I17</f>
        <v>0.7142857142857143</v>
      </c>
      <c r="L17" s="85"/>
      <c r="M17" s="65">
        <v>4</v>
      </c>
      <c r="N17" s="86" t="str">
        <f>Analysis!B148</f>
        <v>Patricia Moore</v>
      </c>
      <c r="O17" s="86"/>
      <c r="P17" s="86"/>
      <c r="Q17" s="86"/>
      <c r="R17" s="86"/>
      <c r="S17" s="82">
        <f>Analysis!C148</f>
        <v>9799.73</v>
      </c>
      <c r="T17" s="82"/>
      <c r="U17" s="82"/>
      <c r="V17" s="87">
        <f>Analysis!E148</f>
        <v>4.2757643826605587E-2</v>
      </c>
      <c r="W17" s="87"/>
      <c r="X17" s="87"/>
    </row>
    <row r="18" spans="1:24" x14ac:dyDescent="0.35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64">
        <v>5</v>
      </c>
      <c r="N18" s="79" t="str">
        <f>Analysis!B149</f>
        <v>Paul Baker</v>
      </c>
      <c r="O18" s="79"/>
      <c r="P18" s="79"/>
      <c r="Q18" s="79"/>
      <c r="R18" s="79"/>
      <c r="S18" s="75">
        <f>Analysis!C149</f>
        <v>8309.739999999998</v>
      </c>
      <c r="T18" s="75"/>
      <c r="U18" s="75"/>
      <c r="V18" s="80">
        <f>Analysis!E149</f>
        <v>3.6256601274902212E-2</v>
      </c>
      <c r="W18" s="80"/>
      <c r="X18" s="80"/>
    </row>
    <row r="20" spans="1:24" x14ac:dyDescent="0.35">
      <c r="A20" s="72" t="s">
        <v>535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53" spans="1:24" x14ac:dyDescent="0.35">
      <c r="A53" s="72" t="s">
        <v>536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 t="s">
        <v>537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</row>
    <row r="54" spans="1:24" ht="21.75" customHeight="1" x14ac:dyDescent="0.35">
      <c r="A54" s="73" t="s">
        <v>10</v>
      </c>
      <c r="B54" s="73"/>
      <c r="C54" s="73"/>
      <c r="D54" s="73" t="s">
        <v>36</v>
      </c>
      <c r="E54" s="73"/>
      <c r="F54" s="73" t="s">
        <v>22</v>
      </c>
      <c r="G54" s="73"/>
      <c r="H54" s="73" t="s">
        <v>49</v>
      </c>
      <c r="I54" s="73"/>
      <c r="J54" s="73" t="s">
        <v>434</v>
      </c>
      <c r="K54" s="73"/>
      <c r="L54" s="73"/>
      <c r="M54" s="92" t="str">
        <f>Report!C5</f>
        <v>Total revenue of $229,192 came from 250 transactions by 50 customers (average order $917).</v>
      </c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</row>
    <row r="55" spans="1:24" ht="30" customHeight="1" x14ac:dyDescent="0.35">
      <c r="A55" s="93" t="str">
        <f>Analysis!A28</f>
        <v>Central</v>
      </c>
      <c r="B55" s="93"/>
      <c r="C55" s="93"/>
      <c r="D55" s="94">
        <f>SUMIFS('Raw Data'!$N$2:$N$251,'Raw Data'!$K$2:$K$251,$A55,'Raw Data'!$G$2:$G$251,"Appliances")</f>
        <v>1999.71</v>
      </c>
      <c r="E55" s="94"/>
      <c r="F55" s="94">
        <f>SUMIFS('Raw Data'!$N$2:$N$251,'Raw Data'!$K$2:$K$251,$A55,'Raw Data'!$G$2:$G$251,"Electronics")</f>
        <v>24889.329999999998</v>
      </c>
      <c r="G55" s="94"/>
      <c r="H55" s="94">
        <f>SUMIFS('Raw Data'!$N$2:$N$251,'Raw Data'!$K$2:$K$251,$A55,'Raw Data'!$G$2:$G$251,"Furniture")</f>
        <v>14399.300000000001</v>
      </c>
      <c r="I55" s="94"/>
      <c r="J55" s="95">
        <f>SUM(D55:I55)</f>
        <v>41288.339999999997</v>
      </c>
      <c r="K55" s="95"/>
      <c r="L55" s="95"/>
      <c r="M55" s="92" t="str">
        <f>Report!C6</f>
        <v>Top customer is Mark Carter ($15,660). The top 10 customers contribute 41% of revenue.</v>
      </c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</row>
    <row r="56" spans="1:24" ht="30" customHeight="1" x14ac:dyDescent="0.35">
      <c r="A56" s="93" t="str">
        <f>Analysis!A29</f>
        <v>East</v>
      </c>
      <c r="B56" s="93"/>
      <c r="C56" s="93"/>
      <c r="D56" s="94">
        <f>SUMIFS('Raw Data'!$N$2:$N$251,'Raw Data'!$K$2:$K$251,$A56,'Raw Data'!$G$2:$G$251,"Appliances")</f>
        <v>2239.67</v>
      </c>
      <c r="E56" s="94"/>
      <c r="F56" s="94">
        <f>SUMIFS('Raw Data'!$N$2:$N$251,'Raw Data'!$K$2:$K$251,$A56,'Raw Data'!$G$2:$G$251,"Electronics")</f>
        <v>50649.009999999995</v>
      </c>
      <c r="G56" s="94"/>
      <c r="H56" s="94">
        <f>SUMIFS('Raw Data'!$N$2:$N$251,'Raw Data'!$K$2:$K$251,$A56,'Raw Data'!$G$2:$G$251,"Furniture")</f>
        <v>6399.71</v>
      </c>
      <c r="I56" s="94"/>
      <c r="J56" s="95">
        <f>SUM(D56:I56)</f>
        <v>59288.389999999992</v>
      </c>
      <c r="K56" s="95"/>
      <c r="L56" s="95"/>
      <c r="M56" s="92" t="str">
        <f>Report!C7</f>
        <v>Most frequently purchased: Bookshelf (35 transactions). Highest revenue product: Laptop.</v>
      </c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</row>
    <row r="57" spans="1:24" ht="30" customHeight="1" x14ac:dyDescent="0.35">
      <c r="A57" s="93" t="str">
        <f>Analysis!A30</f>
        <v>North</v>
      </c>
      <c r="B57" s="93"/>
      <c r="C57" s="93"/>
      <c r="D57" s="94">
        <f>SUMIFS('Raw Data'!$N$2:$N$251,'Raw Data'!$K$2:$K$251,$A57,'Raw Data'!$G$2:$G$251,"Appliances")</f>
        <v>1119.8399999999999</v>
      </c>
      <c r="E57" s="94"/>
      <c r="F57" s="94">
        <f>SUMIFS('Raw Data'!$N$2:$N$251,'Raw Data'!$K$2:$K$251,$A57,'Raw Data'!$G$2:$G$251,"Electronics")</f>
        <v>39239.040000000015</v>
      </c>
      <c r="G57" s="94"/>
      <c r="H57" s="94">
        <f>SUMIFS('Raw Data'!$N$2:$N$251,'Raw Data'!$K$2:$K$251,$A57,'Raw Data'!$G$2:$G$251,"Furniture")</f>
        <v>10449.429999999997</v>
      </c>
      <c r="I57" s="94"/>
      <c r="J57" s="95">
        <f>SUM(D57:I57)</f>
        <v>50808.310000000012</v>
      </c>
      <c r="K57" s="95"/>
      <c r="L57" s="95"/>
      <c r="M57" s="92" t="str">
        <f>Report!C8</f>
        <v>Best region: East ($59,288). Weakest: South ($36,399).</v>
      </c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</row>
    <row r="58" spans="1:24" ht="30" customHeight="1" x14ac:dyDescent="0.35">
      <c r="A58" s="93" t="str">
        <f>Analysis!A31</f>
        <v>South</v>
      </c>
      <c r="B58" s="93"/>
      <c r="C58" s="93"/>
      <c r="D58" s="94">
        <f>SUMIFS('Raw Data'!$N$2:$N$251,'Raw Data'!$K$2:$K$251,$A58,'Raw Data'!$G$2:$G$251,"Appliances")</f>
        <v>1099.83</v>
      </c>
      <c r="E58" s="94"/>
      <c r="F58" s="94">
        <f>SUMIFS('Raw Data'!$N$2:$N$251,'Raw Data'!$K$2:$K$251,$A58,'Raw Data'!$G$2:$G$251,"Electronics")</f>
        <v>25549.32</v>
      </c>
      <c r="G58" s="94"/>
      <c r="H58" s="94">
        <f>SUMIFS('Raw Data'!$N$2:$N$251,'Raw Data'!$K$2:$K$251,$A58,'Raw Data'!$G$2:$G$251,"Furniture")</f>
        <v>9749.5999999999985</v>
      </c>
      <c r="I58" s="94"/>
      <c r="J58" s="95">
        <f>SUM(D58:I58)</f>
        <v>36398.75</v>
      </c>
      <c r="K58" s="95"/>
      <c r="L58" s="95"/>
      <c r="M58" s="92" t="str">
        <f>Report!C9</f>
        <v>Electronics is the leading category with 75% of revenue.</v>
      </c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</row>
    <row r="59" spans="1:24" ht="21.75" customHeight="1" x14ac:dyDescent="0.35">
      <c r="A59" s="93" t="str">
        <f>Analysis!A32</f>
        <v>West</v>
      </c>
      <c r="B59" s="93"/>
      <c r="C59" s="93"/>
      <c r="D59" s="94">
        <f>SUMIFS('Raw Data'!$N$2:$N$251,'Raw Data'!$K$2:$K$251,$A59,'Raw Data'!$G$2:$G$251,"Appliances")</f>
        <v>1879.69</v>
      </c>
      <c r="E59" s="94"/>
      <c r="F59" s="94">
        <f>SUMIFS('Raw Data'!$N$2:$N$251,'Raw Data'!$K$2:$K$251,$A59,'Raw Data'!$G$2:$G$251,"Electronics")</f>
        <v>31429.35</v>
      </c>
      <c r="G59" s="94"/>
      <c r="H59" s="94">
        <f>SUMIFS('Raw Data'!$N$2:$N$251,'Raw Data'!$K$2:$K$251,$A59,'Raw Data'!$G$2:$G$251,"Furniture")</f>
        <v>8099.6400000000012</v>
      </c>
      <c r="I59" s="94"/>
      <c r="J59" s="95">
        <f>SUM(D59:I59)</f>
        <v>41408.68</v>
      </c>
      <c r="K59" s="95"/>
      <c r="L59" s="95"/>
      <c r="M59" s="96" t="str">
        <f>Report!C13</f>
        <v>Focus marketing on High-Value customers, bundle Electronics with Furniture (cross-sell), and replicate best-region practices in the weakest region.</v>
      </c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</row>
    <row r="61" spans="1:24" x14ac:dyDescent="0.35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</row>
  </sheetData>
  <mergeCells count="110">
    <mergeCell ref="A59:C59"/>
    <mergeCell ref="D59:E59"/>
    <mergeCell ref="F59:G59"/>
    <mergeCell ref="H59:I59"/>
    <mergeCell ref="J59:L59"/>
    <mergeCell ref="M59:X59"/>
    <mergeCell ref="A61:X61"/>
    <mergeCell ref="A57:C57"/>
    <mergeCell ref="D57:E57"/>
    <mergeCell ref="F57:G57"/>
    <mergeCell ref="H57:I57"/>
    <mergeCell ref="J57:L57"/>
    <mergeCell ref="M57:X57"/>
    <mergeCell ref="A58:C58"/>
    <mergeCell ref="D58:E58"/>
    <mergeCell ref="F58:G58"/>
    <mergeCell ref="H58:I58"/>
    <mergeCell ref="J58:L58"/>
    <mergeCell ref="M58:X58"/>
    <mergeCell ref="A55:C55"/>
    <mergeCell ref="D55:E55"/>
    <mergeCell ref="F55:G55"/>
    <mergeCell ref="H55:I55"/>
    <mergeCell ref="J55:L55"/>
    <mergeCell ref="M55:X55"/>
    <mergeCell ref="A56:C56"/>
    <mergeCell ref="D56:E56"/>
    <mergeCell ref="F56:G56"/>
    <mergeCell ref="H56:I56"/>
    <mergeCell ref="J56:L56"/>
    <mergeCell ref="M56:X56"/>
    <mergeCell ref="A18:L18"/>
    <mergeCell ref="N18:R18"/>
    <mergeCell ref="S18:U18"/>
    <mergeCell ref="V18:X18"/>
    <mergeCell ref="A20:X20"/>
    <mergeCell ref="A53:L53"/>
    <mergeCell ref="M53:X53"/>
    <mergeCell ref="A54:C54"/>
    <mergeCell ref="D54:E54"/>
    <mergeCell ref="F54:G54"/>
    <mergeCell ref="H54:I54"/>
    <mergeCell ref="J54:L54"/>
    <mergeCell ref="M54:X54"/>
    <mergeCell ref="A16:D16"/>
    <mergeCell ref="E16:F16"/>
    <mergeCell ref="G16:H16"/>
    <mergeCell ref="I16:J16"/>
    <mergeCell ref="K16:L16"/>
    <mergeCell ref="N16:R16"/>
    <mergeCell ref="S16:U16"/>
    <mergeCell ref="V16:X16"/>
    <mergeCell ref="A17:D17"/>
    <mergeCell ref="E17:F17"/>
    <mergeCell ref="G17:H17"/>
    <mergeCell ref="I17:J17"/>
    <mergeCell ref="K17:L17"/>
    <mergeCell ref="N17:R17"/>
    <mergeCell ref="S17:U17"/>
    <mergeCell ref="V17:X17"/>
    <mergeCell ref="A14:D14"/>
    <mergeCell ref="E14:F14"/>
    <mergeCell ref="G14:H14"/>
    <mergeCell ref="I14:J14"/>
    <mergeCell ref="K14:L14"/>
    <mergeCell ref="N14:R14"/>
    <mergeCell ref="S14:U14"/>
    <mergeCell ref="V14:X14"/>
    <mergeCell ref="A15:D15"/>
    <mergeCell ref="E15:F15"/>
    <mergeCell ref="G15:H15"/>
    <mergeCell ref="I15:J15"/>
    <mergeCell ref="K15:L15"/>
    <mergeCell ref="N15:R15"/>
    <mergeCell ref="S15:U15"/>
    <mergeCell ref="V15:X15"/>
    <mergeCell ref="A12:L12"/>
    <mergeCell ref="M12:X12"/>
    <mergeCell ref="A13:D13"/>
    <mergeCell ref="E13:F13"/>
    <mergeCell ref="G13:H13"/>
    <mergeCell ref="I13:J13"/>
    <mergeCell ref="K13:L13"/>
    <mergeCell ref="N13:R13"/>
    <mergeCell ref="S13:U13"/>
    <mergeCell ref="V13:X13"/>
    <mergeCell ref="A8:D9"/>
    <mergeCell ref="E8:H9"/>
    <mergeCell ref="I8:L9"/>
    <mergeCell ref="M8:P9"/>
    <mergeCell ref="Q8:T9"/>
    <mergeCell ref="U8:X9"/>
    <mergeCell ref="A10:D10"/>
    <mergeCell ref="E10:H10"/>
    <mergeCell ref="I10:L10"/>
    <mergeCell ref="M10:P10"/>
    <mergeCell ref="Q10:T10"/>
    <mergeCell ref="U10:X10"/>
    <mergeCell ref="A1:P2"/>
    <mergeCell ref="Q1:X2"/>
    <mergeCell ref="A3:X3"/>
    <mergeCell ref="D4:F4"/>
    <mergeCell ref="G4:J4"/>
    <mergeCell ref="K4:X4"/>
    <mergeCell ref="A7:D7"/>
    <mergeCell ref="E7:H7"/>
    <mergeCell ref="I7:L7"/>
    <mergeCell ref="M7:P7"/>
    <mergeCell ref="Q7:T7"/>
    <mergeCell ref="U7:X7"/>
  </mergeCells>
  <conditionalFormatting sqref="D55:I59">
    <cfRule type="colorScale" priority="6">
      <colorScale>
        <cfvo type="min"/>
        <cfvo type="max"/>
        <color rgb="FFFFFFFF"/>
        <color rgb="FF5B9BD5"/>
      </colorScale>
    </cfRule>
  </conditionalFormatting>
  <conditionalFormatting sqref="I14:I17">
    <cfRule type="cellIs" dxfId="1" priority="3" operator="greaterThanOrEqual">
      <formula>1</formula>
    </cfRule>
    <cfRule type="cellIs" dxfId="0" priority="4" operator="lessThan">
      <formula>0.8</formula>
    </cfRule>
  </conditionalFormatting>
  <conditionalFormatting sqref="K14:K17">
    <cfRule type="iconSet" priority="2">
      <iconSet showValue="0">
        <cfvo type="num" val="0"/>
        <cfvo type="num" val="0.8"/>
        <cfvo type="num" val="1"/>
      </iconSet>
    </cfRule>
  </conditionalFormatting>
  <conditionalFormatting sqref="S14:S18">
    <cfRule type="dataBar" priority="5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{72AA64A5-D3DD-4D9F-9164-8CB846929985}</x14:id>
        </ext>
      </extLst>
    </cfRule>
  </conditionalFormatting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AA64A5-D3DD-4D9F-9164-8CB846929985}">
            <x14:dataBar axisPosition="none">
              <x14:cfvo type="num">
                <xm:f>0</xm:f>
              </x14:cfvo>
              <x14:cfvo type="max"/>
              <x14:negativeFillColor rgb="FF9DC3E6"/>
            </x14:dataBar>
          </x14:cfRule>
          <xm:sqref>S14:S18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1:C13"/>
  <sheetViews>
    <sheetView showGridLines="0" tabSelected="1" zoomScaleNormal="100" workbookViewId="0">
      <selection activeCell="B2" sqref="B2"/>
    </sheetView>
  </sheetViews>
  <sheetFormatPr defaultColWidth="8.6328125" defaultRowHeight="14.5" x14ac:dyDescent="0.35"/>
  <cols>
    <col min="1" max="1" width="3" customWidth="1"/>
    <col min="2" max="2" width="34" customWidth="1"/>
    <col min="3" max="3" width="90" customWidth="1"/>
  </cols>
  <sheetData>
    <row r="1" spans="2:3" ht="20" x14ac:dyDescent="0.4">
      <c r="B1" s="23" t="s">
        <v>538</v>
      </c>
    </row>
    <row r="2" spans="2:3" x14ac:dyDescent="0.35">
      <c r="B2" s="24"/>
    </row>
    <row r="4" spans="2:3" x14ac:dyDescent="0.35">
      <c r="B4" s="15" t="s">
        <v>539</v>
      </c>
      <c r="C4" s="15" t="s">
        <v>540</v>
      </c>
    </row>
    <row r="5" spans="2:3" ht="36" customHeight="1" x14ac:dyDescent="0.35">
      <c r="B5" s="66" t="s">
        <v>420</v>
      </c>
      <c r="C5" s="67" t="str">
        <f>"Total revenue of "&amp;TEXT(Analysis!C17,"$#,##0")&amp;" came from "&amp;Analysis!C18&amp;" transactions by "&amp;Analysis!C21&amp;" customers (average order "&amp;TEXT(Analysis!C19,"$#,##0")&amp;")."</f>
        <v>Total revenue of $229,192 came from 250 transactions by 50 customers (average order $917).</v>
      </c>
    </row>
    <row r="6" spans="2:3" ht="36" customHeight="1" x14ac:dyDescent="0.35">
      <c r="B6" s="66" t="s">
        <v>541</v>
      </c>
      <c r="C6" s="67" t="str">
        <f>"Top customer is "&amp;Analysis!B145&amp;" ("&amp;TEXT(Analysis!C145,"$#,##0")&amp;"). The top 10 customers contribute "&amp;TEXT(SUM(Analysis!E145:E154),"0%")&amp;" of revenue."</f>
        <v>Top customer is Mark Carter ($15,660). The top 10 customers contribute 41% of revenue.</v>
      </c>
    </row>
    <row r="7" spans="2:3" ht="36" customHeight="1" x14ac:dyDescent="0.35">
      <c r="B7" s="66" t="s">
        <v>542</v>
      </c>
      <c r="C7" s="67" t="str">
        <f>"Most frequently purchased: "&amp;Analysis!C157&amp;" ("&amp;Analysis!C158&amp;" transactions). Highest revenue product: "&amp;Analysis!C159&amp;"."</f>
        <v>Most frequently purchased: Bookshelf (35 transactions). Highest revenue product: Laptop.</v>
      </c>
    </row>
    <row r="8" spans="2:3" ht="36" customHeight="1" x14ac:dyDescent="0.35">
      <c r="B8" s="66" t="s">
        <v>543</v>
      </c>
      <c r="C8" s="67" t="str">
        <f>"Best region: "&amp;INDEX(Analysis!A28:A32,MATCH(1,Analysis!G28:G32,0))&amp;" ("&amp;TEXT(MAX(Analysis!B28:B32),"$#,##0")&amp;"). Weakest: "&amp;INDEX(Analysis!A28:A32,MATCH(MAX(Analysis!G28:G32),Analysis!G28:G32,0))&amp;" ("&amp;TEXT(MIN(Analysis!B28:B32),"$#,##0")&amp;")."</f>
        <v>Best region: East ($59,288). Weakest: South ($36,399).</v>
      </c>
    </row>
    <row r="9" spans="2:3" ht="36" customHeight="1" x14ac:dyDescent="0.35">
      <c r="B9" s="66" t="s">
        <v>544</v>
      </c>
      <c r="C9" s="67" t="str">
        <f>INDEX(Analysis!A37:A39,MATCH(1,Analysis!G37:G39,0))&amp;" is the leading category with "&amp;TEXT(MAX(Analysis!F37:F39),"0%")&amp;" of revenue."</f>
        <v>Electronics is the leading category with 75% of revenue.</v>
      </c>
    </row>
    <row r="10" spans="2:3" ht="36" customHeight="1" x14ac:dyDescent="0.35">
      <c r="B10" s="66" t="s">
        <v>545</v>
      </c>
      <c r="C10" s="67" t="str">
        <f>Analysis!C160&amp;" of "&amp;Analysis!C21&amp;" customers ("&amp;TEXT(Analysis!C161,"0%")&amp;") bought more than once; "&amp;Analysis!C163&amp;" bought both Electronics and Furniture."</f>
        <v>47 of 50 customers (94%) bought more than once; 34 bought both Electronics and Furniture.</v>
      </c>
    </row>
    <row r="11" spans="2:3" ht="36" customHeight="1" x14ac:dyDescent="0.35">
      <c r="B11" s="66" t="s">
        <v>446</v>
      </c>
      <c r="C11" s="67">
        <f>'What-If &amp; Regression'!A60</f>
        <v>0</v>
      </c>
    </row>
    <row r="12" spans="2:3" ht="36" customHeight="1" x14ac:dyDescent="0.35">
      <c r="B12" s="66" t="s">
        <v>546</v>
      </c>
      <c r="C12" s="67" t="str">
        <f>"Linear forecast for the next two months: "&amp;TEXT('What-If &amp; Regression'!C56,"$#,##0")&amp;" and "&amp;TEXT('What-If &amp; Regression'!C57,"$#,##0")&amp;"."</f>
        <v>Linear forecast for the next two months: $19,554 and $19,714.</v>
      </c>
    </row>
    <row r="13" spans="2:3" ht="36" customHeight="1" x14ac:dyDescent="0.35">
      <c r="B13" s="66" t="s">
        <v>547</v>
      </c>
      <c r="C13" s="67" t="s">
        <v>548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Analysis</vt:lpstr>
      <vt:lpstr>What-If &amp; Regression</vt:lpstr>
      <vt:lpstr>Visualizations</vt:lpstr>
      <vt:lpstr>Dashboard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Vekariya</cp:lastModifiedBy>
  <cp:revision>1</cp:revision>
  <dcterms:created xsi:type="dcterms:W3CDTF">2026-10-15T04:28:21Z</dcterms:created>
  <dcterms:modified xsi:type="dcterms:W3CDTF">2026-10-15T05:31:47Z</dcterms:modified>
  <dc:language>en-US</dc:language>
</cp:coreProperties>
</file>